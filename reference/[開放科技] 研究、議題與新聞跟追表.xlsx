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新聞活動 (週更新)" sheetId="1" r:id="rId5"/>
    <sheet state="visible" name="常見非慣用語" sheetId="2" r:id="rId6"/>
    <sheet state="visible" name="關鍵字（有就更新）" sheetId="3" r:id="rId7"/>
    <sheet state="visible" name="開放資料知識  (有就更新)" sheetId="4" r:id="rId8"/>
    <sheet state="visible" name="中央機關二級機關平臺 相關公告（月更新）" sheetId="5" r:id="rId9"/>
    <sheet state="visible" name="民間非營利組織（月更新）" sheetId="6" r:id="rId10"/>
    <sheet state="visible" name="法規規範標準 (每月有特殊事件更新)" sheetId="7" r:id="rId11"/>
    <sheet state="visible" name="會議參與跟追"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tc={013996d4-0b6e-467a-95a0-212327b658c0}</author>
    <author>tc={11657911-37c6-4b29-a82e-b2beee077ddc}</author>
    <author>tc={1a5aaa10-79aa-4b25-8f58-75bf70cac6ac}</author>
    <author>tc={2637d927-697a-4646-99ba-ffee6285aff0}</author>
    <author>tc={2a5cccff-1b63-4d1d-ba09-e762f1c9d20e}</author>
    <author>tc={2b2ea0ab-7ad3-46bd-bce7-379f68fd04aa}</author>
    <author>tc={2c2ca7ef-01b6-40ba-ba97-c302a9f400dd}</author>
    <author>tc={2d808155-9bc7-427c-83ae-01154d75e6d9}</author>
    <author>tc={34c6e926-7697-4b66-becf-dc651c96a5a3}</author>
    <author>tc={36624800-4ec8-4a2c-abf2-20e872bcaf5d}</author>
    <author>tc={4431b41a-55d4-4fb4-a78c-19799fdc69a1}</author>
    <author>tc={454cd0a9-3a08-4ca7-af5f-39fecd3a0d38}</author>
    <author>tc={4bc7d95d-3e79-4a12-a0d2-908349cb8ef1}</author>
    <author>tc={51139dbb-e6ea-4414-a0d6-e80cc3aa8c76}</author>
    <author>tc={5420cb3f-16bd-4a23-ab05-929a4245bcbf}</author>
    <author>tc={6a047eda-0846-480d-99ce-c5c3276af011}</author>
    <author>tc={6d4ae3b3-6e84-46c0-9f83-4052c645326e}</author>
    <author>tc={72544480-660b-4d01-bbae-4aef25634408}</author>
    <author>tc={7a35217a-32ba-4122-8545-0291e525d2cb}</author>
    <author>tc={83e45f85-9300-4453-afd8-c377b39b8235}</author>
    <author>tc={8ca68a17-deed-4068-9167-0d2320c34605}</author>
    <author>tc={985fc1f9-584d-4549-a797-0507ffca9207}</author>
    <author>tc={9af0ba6e-c09b-44aa-b715-e226e5baa97f}</author>
    <author>tc={a6cf20f6-a4e5-42f7-99a2-e6504df0f831}</author>
    <author>tc={ae1d9c2f-e6df-4c73-9e2e-6b98479bbbac}</author>
    <author>tc={c315d8dc-97d8-4efb-aa51-2887e95428ca}</author>
    <author>tc={d04f2e06-5ba5-4e6f-9a54-84e5613ec9ee}</author>
    <author>tc={d10b704b-42c4-4a23-952b-efb9dcc1d536}</author>
    <author>tc={de8266b2-dedf-483d-9b77-1027eba4cc7b}</author>
    <author>tc={e3579555-00ce-4964-8c72-7afd0f1d22e4}</author>
    <author>tc={ef9fb468-d857-4d63-85bd-d36c8e56f4b1}</author>
    <author>tc={f9d85016-131c-4310-b9b8-f7504ffecc0d}</author>
  </authors>
  <commentList>
    <comment authorId="0" ref="C1">
      <text>
        <t xml:space="preserve">via HN：HackerNews 篩選進來的新聞</t>
      </text>
    </comment>
    <comment authorId="0" ref="A194">
      <text>
        <t xml:space="preserve">2024/04/22 scanned</t>
      </text>
    </comment>
    <comment authorId="1" xr:uid="{013996d4-0b6e-467a-95a0-212327b658c0}" ref="N208">
      <text>
        <t xml:space="preserve">[Threaded comment]
 Your version of Excel allows you to read this threaded comment; however, any edits to it will get removed if the file is opened in a newer version of Excel. Learn more: https://go.microsoft.com/fwlink/?linkid=870924
Comment:
	盈萱正式參戰新聞跟追
</t>
      </text>
    </comment>
    <comment authorId="2" xr:uid="{11657911-37c6-4b29-a82e-b2beee077ddc}" ref="E323">
      <text>
        <t xml:space="preserve">[Threaded comment]
 Your version of Excel allows you to read this threaded comment; however, any edits to it will get removed if the file is opened in a newer version of Excel. Learn more: https://go.microsoft.com/fwlink/?linkid=870924
Comment:
	@liyhs@ocf.tw 日期格式錯囉
已指派給liyhs@ocf.tw
Reply:
	已修改
</t>
      </text>
    </comment>
    <comment authorId="3" xr:uid="{1a5aaa10-79aa-4b25-8f58-75bf70cac6ac}" ref="F484">
      <text>
        <t xml:space="preserve">[Threaded comment]
 Your version of Excel allows you to read this threaded comment; however, any edits to it will get removed if the file is opened in a newer version of Excel. Learn more: https://go.microsoft.com/fwlink/?linkid=870924
Comment:
	linus 的回應
“Ok, lots of Russian trolls out and about.
It's entirely clear why the change was done, it's not getting reverted, and using multiple random anonymous accounts to try to ‘grass root’ it by Russian troll factories isn't going to change anything.
And FYI for the actual innocent bystanders who aren't troll farm accounts — the ‘various compliance requirements’ are not just a US thing.
If you haven't heard of Russian sanctions yet, you should try to read the news some day. And by ‘news,’ I don't mean Russian state-sponsored spam.
As to sending me a revert patch — please use whatever mush you call brains. I'm Finnish. Did you think I'd be supporting Russian aggression? Apparently it's not just lack of real news, it's lack of history knowledge too.”
https://lore.kernel.org/all/CAHk-=whNGNVnYHHSXUAsWds_MoZ-iEgRMQMxZZ0z-jY4uHT+Gg@mail.gmail.com/
Reply:
	要再標 RSIC-V 的制裁清單法遵
</t>
      </text>
    </comment>
    <comment authorId="4" xr:uid="{2637d927-697a-4646-99ba-ffee6285aff0}" ref="D498">
      <text>
        <t xml:space="preserve">[Threaded comment]
 Your version of Excel allows you to read this threaded comment; however, any edits to it will get removed if the file is opened in a newer version of Excel. Learn more: https://go.microsoft.com/fwlink/?linkid=870924
Comment:
	Ian 說要加入列表的新聞。我先放在這~
</t>
      </text>
    </comment>
    <comment authorId="5" xr:uid="{2a5cccff-1b63-4d1d-ba09-e762f1c9d20e}" ref="L1">
      <text>
        <t xml:space="preserve">[Threaded comment]
 Your version of Excel allows you to read this threaded comment; however, any edits to it will get removed if the file is opened in a newer version of Excel. Learn more: https://go.microsoft.com/fwlink/?linkid=870924
Comment:
	下什麼關鍵字、後後續找什麼
</t>
      </text>
    </comment>
    <comment authorId="6" xr:uid="{2b2ea0ab-7ad3-46bd-bce7-379f68fd04aa}" ref="F466">
      <text>
        <t xml:space="preserve">[Threaded comment]
 Your version of Excel allows you to read this threaded comment; however, any edits to it will get removed if the file is opened in a newer version of Excel. Learn more: https://go.microsoft.com/fwlink/?linkid=870924
Comment:
	假開源
</t>
      </text>
    </comment>
    <comment authorId="7" xr:uid="{2c2ca7ef-01b6-40ba-ba97-c302a9f400dd}" ref="F438">
      <text>
        <t xml:space="preserve">[Threaded comment]
 Your version of Excel allows you to read this threaded comment; however, any edits to it will get removed if the file is opened in a newer version of Excel. Learn more: https://go.microsoft.com/fwlink/?linkid=870924
Comment:
	@liyhs@ocf.tw 再整理一下
已指派給liyhs@ocf.tw
</t>
      </text>
    </comment>
    <comment authorId="8" xr:uid="{2d808155-9bc7-427c-83ae-01154d75e6d9}" ref="D280">
      <text>
        <t xml:space="preserve">[Threaded comment]
 Your version of Excel allows you to read this threaded comment; however, any edits to it will get removed if the file is opened in a newer version of Excel. Learn more: https://go.microsoft.com/fwlink/?linkid=870924
Comment:
	之前有收錄過有關EHDS的文章
</t>
      </text>
    </comment>
    <comment authorId="9" xr:uid="{34c6e926-7697-4b66-becf-dc651c96a5a3}" ref="F465">
      <text>
        <t xml:space="preserve">[Threaded comment]
 Your version of Excel allows you to read this threaded comment; however, any edits to it will get removed if the file is opened in a newer version of Excel. Learn more: https://go.microsoft.com/fwlink/?linkid=870924
Comment:
	@liyhs@ocf.tw 說很適合作為新人訓練的內容
</t>
      </text>
    </comment>
    <comment authorId="10" xr:uid="{36624800-4ec8-4a2c-abf2-20e872bcaf5d}" ref="F384">
      <text>
        <t xml:space="preserve">[Threaded comment]
 Your version of Excel allows you to read this threaded comment; however, any edits to it will get removed if the file is opened in a newer version of Excel. Learn more: https://go.microsoft.com/fwlink/?linkid=870924
Comment:
	純 DR、IF 類別的原則上不收錄，只在 Inoreader 裡上標籤
Reply:
	收到，感謝！
</t>
      </text>
    </comment>
    <comment authorId="11" xr:uid="{4431b41a-55d4-4fb4-a78c-19799fdc69a1}" ref="F500">
      <text>
        <t xml:space="preserve">[Threaded comment]
 Your version of Excel allows you to read this threaded comment; however, any edits to it will get removed if the file is opened in a newer version of Excel. Learn more: https://go.microsoft.com/fwlink/?linkid=870924
Comment:
	雖然 Google DeepMind 確實已開源 AlphaFold3 的推論工具，但模型權重——對程式的完整效用至關重要——並未公開，且需要向 DeepMind 手動提出申請，並遵守特定的授權協議。
授權條款明確限制 AlphaFold3 資產的使用，禁止用於商業活動或代表商業實體 
相較於 AlphaFold3，AlphaFold2 的模型權重是在創用 CC 姓名標示 4.0 國際授權下發布，允許更靈活的使用。
</t>
      </text>
    </comment>
    <comment authorId="12" xr:uid="{454cd0a9-3a08-4ca7-af5f-39fecd3a0d38}" ref="F297">
      <text>
        <t xml:space="preserve">[Threaded comment]
 Your version of Excel allows you to read this threaded comment; however, any edits to it will get removed if the file is opened in a newer version of Excel. Learn more: https://go.microsoft.com/fwlink/?linkid=870924
Comment:
	剛才看了一下，問題應該是在於 Spotify 會透過網路遠端停用 CarThing
</t>
      </text>
    </comment>
    <comment authorId="13" xr:uid="{4bc7d95d-3e79-4a12-a0d2-908349cb8ef1}" ref="F386">
      <text>
        <t xml:space="preserve">[Threaded comment]
 Your version of Excel allows you to read this threaded comment; however, any edits to it will get removed if the file is opened in a newer version of Excel. Learn more: https://go.microsoft.com/fwlink/?linkid=870924
Comment:
	許可證→授權
Reply:
	摘要再精減
Reply:
	數字千年版權法→數位千禧年著作權法
Reply:
	支語調整完成，感謝提醒
</t>
      </text>
    </comment>
    <comment authorId="14" xr:uid="{51139dbb-e6ea-4414-a0d6-e80cc3aa8c76}" ref="N148">
      <text>
        <t xml:space="preserve">[Threaded comment]
 Your version of Excel allows you to read this threaded comment; however, any edits to it will get removed if the file is opened in a newer version of Excel. Learn more: https://go.microsoft.com/fwlink/?linkid=870924
Comment:
	@ian@ocf.tw
已指派給ian@ocf.tw
</t>
      </text>
    </comment>
    <comment authorId="15" xr:uid="{5420cb3f-16bd-4a23-ab05-929a4245bcbf}" ref="F167">
      <text>
        <t xml:space="preserve">[Threaded comment]
 Your version of Excel allows you to read this threaded comment; however, any edits to it will get removed if the file is opened in a newer version of Excel. Learn more: https://go.microsoft.com/fwlink/?linkid=870924
Comment:
	1. 是否有濫用資料的疑慮
2. 政府轉投資公司，這樣用資料，是否等同政府亂用資料
</t>
      </text>
    </comment>
    <comment authorId="16" xr:uid="{6a047eda-0846-480d-99ce-c5c3276af011}" ref="F362">
      <text>
        <t xml:space="preserve">[Threaded comment]
 Your version of Excel allows you to read this threaded comment; however, any edits to it will get removed if the file is opened in a newer version of Excel. Learn more: https://go.microsoft.com/fwlink/?linkid=870924
Comment:
	地圖 licences
https://docs.overturemaps.org/attribution/
</t>
      </text>
    </comment>
    <comment authorId="17" xr:uid="{6d4ae3b3-6e84-46c0-9f83-4052c645326e}" ref="F391">
      <text>
        <t xml:space="preserve">[Threaded comment]
 Your version of Excel allows you to read this threaded comment; however, any edits to it will get removed if the file is opened in a newer version of Excel. Learn more: https://go.microsoft.com/fwlink/?linkid=870924
Comment:
	370+376+391
</t>
      </text>
    </comment>
    <comment authorId="18" xr:uid="{72544480-660b-4d01-bbae-4aef25634408}" ref="F385">
      <text>
        <t xml:space="preserve">[Threaded comment]
 Your version of Excel allows you to read this threaded comment; however, any edits to it will get removed if the file is opened in a newer version of Excel. Learn more: https://go.microsoft.com/fwlink/?linkid=870924
Comment:
	純 DR、IF 類別的原則上不收錄，只在 Inoreader 裡上標籤
Reply:
	收到，感謝！
</t>
      </text>
    </comment>
    <comment authorId="19" xr:uid="{7a35217a-32ba-4122-8545-0291e525d2cb}" ref="F306">
      <text>
        <t xml:space="preserve">[Threaded comment]
 Your version of Excel allows you to read this threaded comment; however, any edits to it will get removed if the file is opened in a newer version of Excel. Learn more: https://go.microsoft.com/fwlink/?linkid=870924
Comment:
	知名的筆記軟體 Obsidian 開發團隊也有說過類似的話，也是丟 SDK 開放外部插件
</t>
      </text>
    </comment>
    <comment authorId="20" xr:uid="{83e45f85-9300-4453-afd8-c377b39b8235}" ref="F74">
      <text>
        <t xml:space="preserve">[Threaded comment]
 Your version of Excel allows you to read this threaded comment; however, any edits to it will get removed if the file is opened in a newer version of Excel. Learn more: https://go.microsoft.com/fwlink/?linkid=870924
Comment:
	「新竹市政府資料交換共通標準作業原則」只找的到 2017/08/21 的初版，若無新版法規，這裡的「日前」= 6 年前
然後高是2022年12月才就任新竹市長的
</t>
      </text>
    </comment>
    <comment authorId="21" xr:uid="{8ca68a17-deed-4068-9167-0d2320c34605}" ref="F429">
      <text>
        <t xml:space="preserve">[Threaded comment]
 Your version of Excel allows you to read this threaded comment; however, any edits to it will get removed if the file is opened in a newer version of Excel. Learn more: https://go.microsoft.com/fwlink/?linkid=870924
Comment:
	@amos@ocf.tw
</t>
      </text>
    </comment>
    <comment authorId="22" xr:uid="{985fc1f9-584d-4549-a797-0507ffca9207}" ref="F388">
      <text>
        <t xml:space="preserve">[Threaded comment]
 Your version of Excel allows you to read this threaded comment; however, any edits to it will get removed if the file is opened in a newer version of Excel. Learn more: https://go.microsoft.com/fwlink/?linkid=870924
Comment:
	純 DR、IF 類別的原則上不收錄，只在 Inoreader 裡上標籤
Reply:
	支語: 數據
Reply:
	收到，感謝！
</t>
      </text>
    </comment>
    <comment authorId="23" xr:uid="{9af0ba6e-c09b-44aa-b715-e226e5baa97f}" ref="F161">
      <text>
        <t xml:space="preserve">[Threaded comment]
 Your version of Excel allows you to read this threaded comment; however, any edits to it will get removed if the file is opened in a newer version of Excel. Learn more: https://go.microsoft.com/fwlink/?linkid=870924
Comment:
	@liyhs@ocf.tw
已指派給liyhs@ocf.tw
</t>
      </text>
    </comment>
    <comment authorId="24" xr:uid="{a6cf20f6-a4e5-42f7-99a2-e6504df0f831}" ref="H303">
      <text>
        <t xml:space="preserve">[Threaded comment]
 Your version of Excel allows you to read this threaded comment; however, any edits to it will get removed if the file is opened in a newer version of Excel. Learn more: https://go.microsoft.com/fwlink/?linkid=870924
Comment:
	建議收錄學習資源。
</t>
      </text>
    </comment>
    <comment authorId="25" xr:uid="{ae1d9c2f-e6df-4c73-9e2e-6b98479bbbac}" ref="F387">
      <text>
        <t xml:space="preserve">[Threaded comment]
 Your version of Excel allows you to read this threaded comment; however, any edits to it will get removed if the file is opened in a newer version of Excel. Learn more: https://go.microsoft.com/fwlink/?linkid=870924
Comment:
	純 DR、IF 類別的原則上不收錄，只在 Inoreader 裡上標籤
Reply:
	收到，感謝！
</t>
      </text>
    </comment>
    <comment authorId="26" xr:uid="{c315d8dc-97d8-4efb-aa51-2887e95428ca}" ref="C380">
      <text>
        <t xml:space="preserve">[Threaded comment]
 Your version of Excel allows you to read this threaded comment; however, any edits to it will get removed if the file is opened in a newer version of Excel. Learn more: https://go.microsoft.com/fwlink/?linkid=870924
Comment:
	YH 尚未分享
</t>
      </text>
    </comment>
    <comment authorId="27" xr:uid="{d04f2e06-5ba5-4e6f-9a54-84e5613ec9ee}" ref="F312">
      <text>
        <t xml:space="preserve">[Threaded comment]
 Your version of Excel allows you to read this threaded comment; however, any edits to it will get removed if the file is opened in a newer version of Excel. Learn more: https://go.microsoft.com/fwlink/?linkid=870924
Comment:
	與上週 氣候變遷研究 新聞有關
</t>
      </text>
    </comment>
    <comment authorId="28" xr:uid="{d10b704b-42c4-4a23-952b-efb9dcc1d536}" ref="N149">
      <text>
        <t xml:space="preserve">[Threaded comment]
 Your version of Excel allows you to read this threaded comment; however, any edits to it will get removed if the file is opened in a newer version of Excel. Learn more: https://go.microsoft.com/fwlink/?linkid=870924
Comment:
	@ian@ocf.tw @leaf@ocf.tw 請確認是否可行
</t>
      </text>
    </comment>
    <comment authorId="29" xr:uid="{de8266b2-dedf-483d-9b77-1027eba4cc7b}" ref="N131">
      <text>
        <t xml:space="preserve">[Threaded comment]
 Your version of Excel allows you to read this threaded comment; however, any edits to it will get removed if the file is opened in a newer version of Excel. Learn more: https://go.microsoft.com/fwlink/?linkid=870924
Comment:
	可以寫一篇科普文：
- 分析個縣市的資料集數量
</t>
      </text>
    </comment>
    <comment authorId="30" xr:uid="{e3579555-00ce-4964-8c72-7afd0f1d22e4}" ref="D74">
      <text>
        <t xml:space="preserve">[Threaded comment]
 Your version of Excel allows you to read this threaded comment; however, any edits to it will get removed if the file is opened in a newer version of Excel. Learn more: https://go.microsoft.com/fwlink/?linkid=870924
Comment:
	從此筆資料以下，補完各欄的值
</t>
      </text>
    </comment>
    <comment authorId="31" xr:uid="{ef9fb468-d857-4d63-85bd-d36c8e56f4b1}" ref="E401">
      <text>
        <t xml:space="preserve">[Threaded comment]
 Your version of Excel allows you to read this threaded comment; however, any edits to it will get removed if the file is opened in a newer version of Excel. Learn more: https://go.microsoft.com/fwlink/?linkid=870924
Comment:
	日期格式錯誤
Reply:
	修改完成～
</t>
      </text>
    </comment>
    <comment authorId="32" xr:uid="{f9d85016-131c-4310-b9b8-f7504ffecc0d}" ref="F162">
      <text>
        <t xml:space="preserve">[Threaded comment]
 Your version of Excel allows you to read this threaded comment; however, any edits to it will get removed if the file is opened in a newer version of Excel. Learn more: https://go.microsoft.com/fwlink/?linkid=870924
Comment:
	可以作為案例跟大家分享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tc={03b025cf-f7f3-4500-aa22-b1e969e5ff4b}</author>
  </authors>
  <commentList>
    <comment authorId="0" xr:uid="{03b025cf-f7f3-4500-aa22-b1e969e5ff4b}" ref="C10">
      <text>
        <t xml:space="preserve">[Threaded comment]
 Your version of Excel allows you to read this threaded comment; however, any edits to it will get removed if the file is opened in a newer version of Excel. Learn more: https://go.microsoft.com/fwlink/?linkid=870924
Comment:
	與 7 月的網站比較，報告新增 or 修改的狀態
用 wayback machine 找前版資料
Reply:
	同時更新法規 ( if change exists )
</t>
      </text>
    </comment>
  </commentList>
</comments>
</file>

<file path=xl/sharedStrings.xml><?xml version="1.0" encoding="utf-8"?>
<sst xmlns="http://schemas.openxmlformats.org/spreadsheetml/2006/main" count="3513" uniqueCount="2297">
  <si>
    <t>分類</t>
  </si>
  <si>
    <t>類別</t>
  </si>
  <si>
    <t>新聞來源</t>
  </si>
  <si>
    <t>名稱</t>
  </si>
  <si>
    <t>新聞日期</t>
  </si>
  <si>
    <t>摘要</t>
  </si>
  <si>
    <t>原始網址</t>
  </si>
  <si>
    <t>可追蹤頁面</t>
  </si>
  <si>
    <t>收錄者</t>
  </si>
  <si>
    <t>OCF 相關</t>
  </si>
  <si>
    <t>分享</t>
  </si>
  <si>
    <t>關鍵字</t>
  </si>
  <si>
    <t>最後檢視日期</t>
  </si>
  <si>
    <t>備註</t>
  </si>
  <si>
    <t>（ian 測試中）台灣用語翻譯</t>
  </si>
  <si>
    <t>2020 之前</t>
  </si>
  <si>
    <t>2020.01.07</t>
  </si>
  <si>
    <t>國發會今年工作目標包括制定開放資料專法草案，並推動個資法修正草案、個資保護獨立機關組織法，以爭取在今年通過GDPR適足性認定。</t>
  </si>
  <si>
    <t>https://www.ithome.com.tw/news/135213</t>
  </si>
  <si>
    <t>2023.04.26</t>
  </si>
  <si>
    <t>2005.02.05</t>
  </si>
  <si>
    <t>行政院長毛治國今（5）日在行政院會聽取行政院科技會報辦公室「政府推動開放資料的回顧與展望」報告後表示，開放資料(Open Data)是全球政府的先進指標，不僅代表政府施政透明度，也代表一個國家的資通訊(ICT)建設與產業成熟度，甚至可以催化新一代網路與資訊服務產業，例如金融資訊的開放，就能創造創新應用的新商機。今年也將正式啟動Open Data深化應用元年，以加速釋出政府資料。</t>
  </si>
  <si>
    <t>https://www.ey.gov.tw/Page/9277F759E41CCD91/bb1dd1b5-f098-4ed0-8e88-8ab2e9764a03</t>
  </si>
  <si>
    <t>2023 OpenData</t>
  </si>
  <si>
    <t>2023.01.03</t>
  </si>
  <si>
    <t>高應用價值資料開放已是國際趨勢。數位部指出，行政院日前已經通過健康醫療、能源管理及交通運輸等六大主題資料開放，預計2月上線，屆時將有上百筆高應用價值資料可供應用，相信能促進產業甚至國家經濟發展。
實際上，總統蔡英文在數位部揭牌時，便表達希望數位部可以成為國際開放資料的標竿。數位部長唐鳳近期也透露，行政院預計通過六大主題的資料開放，都是在各個部會既有開放資料的基礎之上按特別需求去開放，屬於高度精確的資料，擁有非常高的公益價值。一旦相關機制建立，政府先將自己的資料拋磚引玉，促進善的循環，也是數據公益的基本主張。</t>
  </si>
  <si>
    <t>https://www.chinatimes.com/newspapers/20230103000091-260202?chdtv</t>
  </si>
  <si>
    <t>https://www.google.com/search?q=%E9%AB%98%E5%83%B9%E5%80%BC%E8%B3%87%E6%96%99+%E6%94%BF%E5%BA%9C%E8%B3%87%E6%96%99&amp;client=firefox-b-d&amp;biw=1792&amp;bih=982&amp;tbm=nws&amp;ei=9vukZIXSKo3M-QaPnrLIBg&amp;oq=%E9%AB%98%E5%83%B9%E5%80%BC%E8%B3%87%E6%96%99+%E6%94%BF%E5%BA%9C&amp;gs_lcp=Cgxnd3Mtd2l6LW5ld3MQAxgAMgUIIRCgAToFCAAQogRQgwFYnyhglzdoBnAAeACAAecBiAGpB5IBBTUuMS4ymAEAoAEBwAEB&amp;sclient=gws-wiz-news</t>
  </si>
  <si>
    <t>開放資料 主題專區
高價值資料</t>
  </si>
  <si>
    <t>2022.12.09</t>
  </si>
  <si>
    <t>數位發展部今（9）日於松山文創園區舉辦「2022年全國資訊主管聯席會暨政府資料開放頒獎典禮」，行政院長蘇貞昌親自蒞臨，頒發政府資料開放金質獎予獲獎的政府機關，表達肯定與感謝。數位部長唐鳳致詞時表示，無論民生經濟、公共治理乃至藝術文化等各領域，每分每秒都在「產生」資料，而這些領域也都在「應用」資料，創造許多新型態的公益創新方案。開放資料是一種「反競爭財（Anti-rival good）」，分享越多越有價值，正是建立全民協力生態系最好的資源。</t>
  </si>
  <si>
    <t>https://moda.gov.tw/press/press-releases/3301</t>
  </si>
  <si>
    <t>https://moda.gov.tw/press/press-releases/372</t>
  </si>
  <si>
    <t>唐鳳 資料治理</t>
  </si>
  <si>
    <t>2023.07.01</t>
  </si>
  <si>
    <t xml:space="preserve">2022.09.26 </t>
  </si>
  <si>
    <t>數位發展部長唐鳳今天表示，數位部將結合各部會，訂定高應用價值資料的機制，年底會公布有哪些是高應用價值的主題，針對這些主題資料，政府將投入更多資源增進資料品質，讓所有人都可以運用。她還強調，未來所有公私協力應用的資料，不會只有單一部會推動，將會是所有部會攜手共創。</t>
  </si>
  <si>
    <t>https://ec.ltn.com.tw/article/breakingnews/4069997</t>
  </si>
  <si>
    <t>高價值資料 政府資料</t>
  </si>
  <si>
    <t>2023.03.07</t>
  </si>
  <si>
    <t>- 游毓蘭立法委員提到在數位發展部設立的「資料治理司」似乎不見了。
- 「資料治理司」原本是數位發展部籌備小組根據組織法所規劃的部門，但在組織法通過後沒有實現。
- 資料治理在數位時代下變得複雜且風險擴大，主管機關應該重視此問題。
- 個資保護專責機關成立後，各部會不應完全把資料治理和個資保護責任交給該機關，而應在各自職掌中勇於任事。
- 資料治理的法制應該加速推動和補強，包括完備資料治理、數位服務、電子身分資料保護等相關法制體系。
- 需要制定科技演算法公平性與透明性規範、AI倫理指引、政府應用AI特別規範等。
- 公私部門的資料治理和個資保護成熟度不足，相應的罰則應該加重，並建立專業的輔導機制，促進公私協作。
- 資通安全和資料治理問題變得複雜且風險擴大，需要主管機關和社會各界合作解決。</t>
  </si>
  <si>
    <t>https://futurecity.cw.com.tw/article/2959</t>
  </si>
  <si>
    <t>https://futurecity.cw.com.tw/search?key=%E8%B3%87%E6%96%99%E6%B2%BB%E7%90%86</t>
  </si>
  <si>
    <t>資料治理</t>
  </si>
  <si>
    <t>2022.08.22</t>
  </si>
  <si>
    <t>數位發展部即將成立，青平台永續民主研究中心規劃「前瞻台灣數位永續願景」系列專文，邀請公民社會、產業界、學術界、政府共同前瞻台灣社會永續發展的數位願景，探尋可行實踐路徑，共創數位韌性台灣。
談到資料治理的法律問題，最常被討論的是個資保護與資料治理之間如何並存；我國在討論個資保護時，經常將此視為天賦人權的一種，似乎是不可質疑的前提。
其實，「個資保護」概念直到1980年代才出現，因當時電腦科技出現，個人資料變得容易複製流通，才有應賦予個人對其資料有自主控制權的觀念，藉此保護20世紀初以來逐漸受重視的個人隱私權。
然而，此觀念主要由歐盟加以制度化，並推廣於其他國家，至今卻仍未成為美國的主流法政策。</t>
  </si>
  <si>
    <t>https://futurecity.cw.com.tw/article/2715</t>
  </si>
  <si>
    <t>2022.12.20</t>
  </si>
  <si>
    <t>《數發部組織法》第2條第6款規定「資料治理與開放之策略規劃、協調、推動及資源分配」為該部職掌。即使未來個資專責機關成立，數發部是否除了提供技術協助，即無事一身輕？在確保個資隱私的前提下，如何促進資料的加值應用，係資料治理的重要議題；數發部自應善盡職責，與相關部會取得協調與平衡。（延伸閱讀｜​​回應「部桃個資外洩」事件：數位醫療供應鏈安全法制規劃與歐美經驗）</t>
  </si>
  <si>
    <t>https://futurecity.cw.com.tw/article/2897</t>
  </si>
  <si>
    <t>https://www.google.com/search?client=firefox-b-d&amp;q=%E6%94%BF%E5%BA%9C%E8%B3%87%E6%96%99%E9%96%8B%E6%94%BE%20site%3Aithome.com.tw&amp;ved=2ahUKEwjLp7af6fb_AhWEAogKHf8UB2UQ2wF6BAgrEAE&amp;ei=8v2kZMvmHoSFoAT_qZyoBg</t>
  </si>
  <si>
    <t>2022.07.12</t>
  </si>
  <si>
    <t>【為什麼我們要挑選這本書】資料過去侷限在各個企業資料庫裡，除了內部再次利用，沒有更多的可能性。
《資料煉金術 》一書，提出未來 Web3 的時代，每個人都需具備新的「資料素養」思維！因為大數據時代的關鍵不在於資料蒐集，而是如何自由使用和深入分析資料。下文作者將剖析未來多變的世界，如何透過開放資料存取權，激盪創新潛能，促進企業競爭力。</t>
  </si>
  <si>
    <t>https://buzzorange.com/techorange/2022/07/12/open-data-is-necessary/</t>
  </si>
  <si>
    <t>2023.06.26</t>
  </si>
  <si>
    <t>協助民生公共物聯網資料應用業者拓展商機，並加速政府治理進程，由數位發展部數位產業署於6月17日舉辦「民生公共物聯網資料應用產業交流會」，會中邀請來自產業界的專家，透過民生公共物聯網資料應用示範案例，分享實際商用案例及外銷國際成果，期望促進政府機關運用數據開發創新應用，並且建立產業交流平台，以帶動政府數位治理及產業商機。</t>
  </si>
  <si>
    <t>https://www.bnext.com.tw/article/75790/tadpi_0626</t>
  </si>
  <si>
    <t>政府資料開放 - Google Search</t>
  </si>
  <si>
    <t>政府資料開放</t>
  </si>
  <si>
    <t>2023.04.13</t>
  </si>
  <si>
    <t>今年四月，是臺灣發展開放資料的重要里程碑，是「政府資料開放平臺」上線滿十年的日子。如今，平臺已開放超過五萬五千筆資料集，瀏覽量超過一億一千三百萬次、下載量超過一千九百萬次。
歷年來在開放資料的基礎上，出現了許多解決社會問題的創意應用，例如結合雨量示警的灌溉機制、幫助漁農養殖文蛤而開發的智慧系統，都是近年參賽者在資料應用比賽提出的好點子。
支撐這些點子成功的關鍵，就是各機關持續釋出的各類「高應用價值」資料。
過去，許多富含公益價值的高價值應用資料，如氣象觀測和救災資源等，往往礙於法規限制和運算限制，無法輕易對外釋出。十年來，政府持續排除萬難，將資料提供大眾使用。
例如，中央氣象局在二〇二二年公布的「氣象資源創新應用方案」，開放法人、企業申請高精度的氣象資料和資源，不只讓氣象預報有機會變得更精準，後續發展出個別場域的氣象、海流等分析，也可以提供漁業和航運等產業進一步應用。
此案例完整呈現了，高價值應用資料有機會連結不同產業和專業。數位部也在徵求各部會和大眾意見後，在政府資料開放平臺，開設了「高應用價值主題專區」。
有別於過去以業務或機關作為分類依據，我們根據社會價值和資料內容區分「主題」，首先歸類出氣候環境、災害防救、交通運輸、健康醫療、能源管理、社會救助等六項資料集。主題式的規劃，不只有助於查找資料，也能讓不同資料的關聯一覽無遺，激發更多協作。</t>
  </si>
  <si>
    <t>https://pdis.nat.gov.tw/zh-TW/blog/%E5%8D%81%E5%B9%B4%E9%96%8B%E6%94%BE%E8%B3%87%E6%96%99-%E9%96%8B%E5%95%9F%E7%84%A1%E9%99%90%E6%9C%AA%E4%BE%86/</t>
  </si>
  <si>
    <t>2023.11.16</t>
  </si>
  <si>
    <t>數位發展部數位產業署於昨（15）日與亞洲最具規模的開放資料組織－亞洲開放資料合作夥伴(Asia Open Data Partnership, AODP)共同合作，舉辦「東南亞資料商機大解密」(EXPLORE! Data Market Entry &amp; Expansion in the SEA)國際論壇，邀集國內外產業菁英解析東南亞市場資料經濟產業之商機趨勢與潛藏風險、泰國數位科技政策、資料合作應用案例等，暢談如何以資料應用為核心，為各行各業帶來創新商機與成功關鍵，現場吸引上百人共同參與。</t>
  </si>
  <si>
    <t>https://money.udn.com/money/story/5635/7240705</t>
  </si>
  <si>
    <t>2023.06.29</t>
  </si>
  <si>
    <t>面對淨零減碳的國際目標，綠盟在去年推出透明足跡3.0「ESG檢測儀」，將原本散落在政府開放資料，以及一本本厚厚的企業社會責任報告書裡的資料，一筆筆建檔，彙整成企業污染、碳排、用水、用電、勞動狀況等60多項可檢視ESG的指標，作成台灣第一個免費公開的ESG資料庫，讓大家都能上去搜尋。除了督促企業作出減碳承諾，透過ESG檢測儀裡的淨零路徑模擬器，檢視減碳的趨勢，讓漂綠企業無所遁形，淨零減碳才能玩真的。</t>
  </si>
  <si>
    <t>https://nspp.mofa.gov.tw/nspp/news.php?unit=406&amp;post=238180</t>
  </si>
  <si>
    <t>2023.07.04</t>
  </si>
  <si>
    <t>地圖開發者在臉書上指出，目前在全國教保資訊網公告的裁罰紀錄時間到了就會下架，但他製作的「台灣幼兒園地圖」中的裁罰資料因為資料都是透過備份的方式，所以在地圖上仍可以查到大部份資料。他也強調，網站上的裁罰與收費資料完全不會下架。</t>
  </si>
  <si>
    <t>https://www.inside.com.tw/article/32083-preschools-maps</t>
  </si>
  <si>
    <t>2023.06.27</t>
  </si>
  <si>
    <t>台中市政府持續提升數位服務、推動智慧化動能，去年12月25日成立數位治理局，全力推動台中智慧城市發展，市長盧秀燕今（27）日在市政會議表示，成立數位局2大重點，一為智慧治理，讓市民更便利、資訊更加公開透明；二為推廣應用，從台中購物節APP升級為全年使用的數位市民平台「台中通」，會員近190萬人，不只有虛擬市民卡鏈結市府數位服務，更將結合市府大型活動，鼓勵市民多加運用。
盧市長表示，她極為重視數位發展、資訊安全管理，競選連任時特別於公報承諾成立數位局，並於連任就職當天掛牌，全力推動台中智慧化發展；成立數位局兩大目的，一為智慧治理，透過數位化服務達到便民效果，如遠距辦公、科技執法抓超速與烏賊車等，並加強民眾個資與政府資安管理，盼透過數位化治理讓城市更好，讓市民更便利、資訊更加公開透明。</t>
  </si>
  <si>
    <t>https://www.taichung.gov.tw/2383202/post</t>
  </si>
  <si>
    <t>農委會水土保持局在第十九屆金圖獎激烈競爭中脫穎而出，以「BigGIS巨量空間資訊系統」榮獲「智慧國土年度特別獎」及「應用系統獎」兩大獎，充分肯定了水保局在空間資訊整合與協作應用方面的成果。
水保局建置BigGIS巨量空間資訊系統( https://gis.swcb.gov.tw/ ) ，致力於整合過去多年來累積的巨量地理空間屬性之圖資，自一0八年上線服務迄今，已成為國內航遙測影像服務的重要平台。民眾可以快速瀏覽自一九六六年以來近一甲子的衛星影像及航空照片，甚至可以看到百年前的歷史地圖，輕鬆掌握臺灣這片土地歷年來的地景變化。</t>
  </si>
  <si>
    <t>https://tw.news.yahoo.com/%E6%95%B8%E6%93%9A%E9%A9%85%E5%8B%95%E9%98%B2%E7%81%BD%E5%89%B5%E6%96%B0-%E6%B0%B4%E4%BF%9D%E5%B1%80%E5%B7%A8%E9%87%8F%E7%A9%BA%E9%96%93%E8%B3%87%E8%A8%8A%E7%B3%BB%E7%B5%B1%E7%8D%B2%E9%87%91%E5%9C%96%E7%8D%8E%E9%9B%99%E6%96%99%E6%AE%8A%E6%A6%AE-092328031.html</t>
  </si>
  <si>
    <t>2023.07.22</t>
  </si>
  <si>
    <t>金門縣政府人事處昨(7/21)以數位發展為主軸，邀請了數位發展部科長林哲豪主講「數位資料創新案例解析」，林哲豪在數位發展部多元創新司資料自主科擔任科長職務，負責個人化資料自主運用(MyData)政策與相關機制規劃、跨部門介接合作之協調等業務項目。
林哲豪首以資料創新應用為楔子，說明開放資料與創新應用的重要性，並延伸探討在數位時代下MyData和數據公益的趨勢發展。「數據公益」的基本概念是個人自願提供資料，經過處理後成為無關個資的資料（即「數據」），無償允許公益使用，此外，願意無償提供數據的單位也可以加入「數據公益」的行列。這也是歐洲聯盟執委會在2022年6月推動實行的《資料治理法》的核心內涵；強調數據之於整體環境的良善目的，個人與數據持有者自願無償提供數據用於科學研究、改善公共服務，以簡單的方式讓數據可共享，造福社會環境。比起我們過去所熟知的開放資料，「數據公益」更強調數據的公益性以及數據持有者的主動性，賦予數據利他貢獻的價值，更以此建立數位互信關係。</t>
  </si>
  <si>
    <t>https://886.news/archives/121353</t>
  </si>
  <si>
    <t>2023.08.04</t>
  </si>
  <si>
    <t>2023.08.01</t>
  </si>
  <si>
    <t xml:space="preserve"> 鄭文燦表示，人工智慧基本法原定9月完成草案，不過，因為人工智慧的技術發展太快、應用面也太廣，因此會稍稍延後，整合最新的發展技術在AI倫理規範與發展架構，會制定一個新的法案稍後再推出。
鄭文燦會後受訪解釋，過去已開過很多討論會議，不過，因為AI技術發展太快，因此會重新調整立法時程。至於是否會暫緩立法，鄭文燦強調，沒有暫緩，還是會立法，只是會讓討論期間更長。</t>
  </si>
  <si>
    <t>https://udn.com/news/story/7238/7339690?from=udn-ch1_breaknews-1-cate6-news</t>
  </si>
  <si>
    <t>2023.08.07</t>
  </si>
  <si>
    <t>張允中說，該AI系統使用國外開放資料集來建模，但台灣肺癌表現和國外不同，因此使用台大醫院資料訓練，共訓練650例、2337顆肺結節，打造有助於偵測台灣或亞洲肺癌的模組，準確度可達85％以上，對於大於6mm的結節，判讀準確率可達9成。</t>
  </si>
  <si>
    <t>https://health.udn.com/health/story/122421/7351829</t>
  </si>
  <si>
    <t>有第三方支付業者日前希望政府可以開放其使用聯徵中心，以強化KYC（瞭解你的客戶）協助打擊詐騙集團。對此，金管會坦言，依規定，金融聯合聯合徵務中心僅限金融機構使用，包括電子支付也屬於金融機構；不過，金管會也強調，一直與數位發展部保持聯繫，將與其聯絡、進一步瞭解相關需求。
對此，金管會銀行局表示，目前尚未收到數位部的來函，還不知道具體需求是甚麼，不過，聯徵中心僅限金融機構才能使用。</t>
  </si>
  <si>
    <t>https://ec.ltn.com.tw/article/breakingnews/4383194</t>
  </si>
  <si>
    <t>2023.07.10</t>
  </si>
  <si>
    <t>新營收項目：「AI矽智財」
除了繼續AI與資安的習作之外，陳維超並規劃AI矽智財的授權生意，將是可期待的新營收項目，也嘗試與公部門進行資料，進行「安全的聯邦式學習」，讓不同公司可以一起共用資料研究。
「企業裡會有很多既有的工作方式，不同單位、不同區域分公司，都可能有自己習以為常的執行方法。所以我們用數位工具，限制流程，改變流程，讓管理更有效率，」陳維超表示。
「AI轉型、數位轉型，其實都不是一個軟體問題，是流程問題，也是如何運用資料的問題，」英業達資深副總經理暨數位長陳維超，回顧5年多來的數位賦能歷程，探討最多的不是AI技術的演進，而是底層核心的「資料治理」
（1）整理「元資料（metadata）」
（2）特色資料創造「特色AI」
（3）垃圾資料就是「垃圾AI」，也可再研究
（4）資料變資訊，資訊變指標，指標變行動</t>
  </si>
  <si>
    <t xml:space="preserve"> 2023.08.02</t>
  </si>
  <si>
    <t>RSS3 是一個開放網路的資訊分發協議，旨在為 AI、搜尋與社交提供去中心化資訊索引基礎架構。
該協議可以直接從各種區塊鏈和去中心化網路索引資料，通過一組簡單易用的 API，使用者可以輕鬆訪問去中心化網路的資料來源。RSS3 API 提供的標準化資料格式確保了使用者可以便捷快速地訪問各種 Web3 內容源。
RSS3 通過提供自由、高效和安全的去中心化資訊流，致力於成為 Web3 和 AI 技術之間的橋樑，同時希望通過技術迭代，促進社交、金融和電商等領域的以 AI 為驅動的應用程式開發。</t>
  </si>
  <si>
    <t>2023.08.05</t>
  </si>
  <si>
    <t>台灣銀行、證券、保險業，可以將更多資料放上雲端。金管會三月時宣布金融業委外辦法大鬆綁，原本預計九月放行，提前至八月即可上路，且上雲規定大幅放寬，申請文件也從過去的十幾項縮減至六項，預計最快下周就可上路。金管會昨宣布全面放寬金融機構將資料放上雲端的規定，包括金融機構官網或去識別化大數據資料庫等資料，全部都可在免向金管會申請情況下，委任境外業者直接上雲。涉及客戶的個人資料包括存匯款、申辦房貸、信用卡、信貸等資料，在向金管會申請並獲得同意下，可以在境外上雲。
金融業者看好，上雲條件大幅鬆綁後，民眾將能得到更快速金融服務，尤其是未來金管會開放生成式ＡＩ運用後，上雲來強化效率和速度絕對是必要。</t>
  </si>
  <si>
    <t>https://udn.com/news/story/7239/7348191</t>
  </si>
  <si>
    <t>2023.7.28</t>
  </si>
  <si>
    <t>癌症長年位居國人十大死因第一名，我國「癌症登記資料庫」自民國68年建立，其完整性和及時性優於國際標準，背後仰賴著癌症登記師的努力；但是癌症登記欄目繁多，光是一位癌症患者資料就多達115個欄位須填報，讓癌登師相當辛苦、人力更是捉襟見肘。國民健康署與國家衛生研究院合作開發人工智慧（AI）輔助程式，優先應用於肺癌登記，可自動產出至少30個欄位，準確度達85％以上，預計今年將擴大應用於肺癌等7種癌症。
台大醫院影像醫學部心肺影像診斷科主任張允中說明，該AI系統使用國外開放資料集來建模，但台灣肺癌表現和國外不同，因此使用台大醫院資料訓練，共訓練650例、2337顆肺結節，準確度可達85％以上，對於大於6mm的結節，判讀準確率可達9成。台大醫院今年起已將此試用程式使用在民眾健檢上，以便醫師後續判別。</t>
  </si>
  <si>
    <t>https://tw.news.yahoo.com/%E7%99%8C%E7%99%BB%E5%B8%AB-%E4%BA%BA%E5%8A%9B%E8%8D%92-%E5%9C%8B%E8%A1%9B%E9%99%A2%E9%96%8B%E7%99%BCai%E7%A8%8B%E5%BC%8F-%E8%87%AA%E5%8B%95%E7%94%A2%E5%87%BA30%E6%AC%84%E4%BD%8D-%E6%BA%96%E7%A2%BA%E5%BA%A6%E9%81%9485-073606225.html</t>
  </si>
  <si>
    <t>副總統賴清德今天表示，台灣是硬體製造大國，但在數位化普及的資通訊時代，台灣應成為資訊應用大國，持續推廣開放政府的精神，應在顧及隱私權保護之下，建立一套既能保護隱私，又能充分運用資料的完善法律制度。
賴副總統表示，許多人擔心開放資料可能傷及隱私權，人權團體也會提出相關顧慮，因此在邁向資訊應用大國之路，應在顧及隱私權保護之下，建立一套既能保護隱私，又能充分運用資料的完善法律制度。</t>
  </si>
  <si>
    <t>https://money.udn.com/money/story/7307/7346294?from=edn_newest_index</t>
  </si>
  <si>
    <t>2023.07.27</t>
  </si>
  <si>
    <t>以圖資共享為宗旨的Overture Maps Foundation（OMF），在微軟、AWS、Meta、及Tomtom等OMF會員的合作下，對外釋出首個開放地圖資料集Overture 2023-07-26-alpha.0。在本周三（7/26）發表了首個開放地圖資料集，此一資料集由4個資料層組成，可望成為導航、在地搜尋及許多位置應用程式的基礎，並已開放下載。</t>
  </si>
  <si>
    <t>https://www.ithome.com.tw/news/157970</t>
  </si>
  <si>
    <t xml:space="preserve">2023.07.28 </t>
  </si>
  <si>
    <t>我國健保資料庫大量資料可在有條件下供學術研究用，但被民間團體聲請釋憲，最終憲法法庭在去年8月判決二次利用「部分違憲」，需在3年內修法；健保署長石崇良今天指出，健保署已在規劃修法，但有4大難題要解決，「不管是修健保法或修個資法，退出權都是一定要走的路」。
石崇良今天受業者邀請到亞洲生技展參加論壇，他在會中談及健保資料庫二次利用一事時指出，針對修法有4個層面仍須考量和克服：
●哪些資料可以退出、哪些資料要被限制？對民眾的影響以及權益保護要到什麼程度？
●資料串接以及轉移的規範，要有一定程度的身分辨識，否則會讓串接出現困難。
●誰可以來申請健保資料的使用及用途？
●健保資料必須兼顧公益使用和商業研發需求，但也要有商業利益回饋機制。</t>
  </si>
  <si>
    <t>https://health.ltn.com.tw/article/breakingnews/4378823</t>
  </si>
  <si>
    <t>2023.7.15</t>
  </si>
  <si>
    <t>（路透華盛頓14日電）美國聯邦參議院將在接下來數天討論一項兩黨都支持的議案，內容是強制政府公開可能與不明飛行物（UFO）目擊事件有關的紀錄。這項修正案將要求美國國家檔案和紀錄管理局（U.S. National Archives and Records Administration）在「立即披露的前提下」，蒐集所有相關政府單位的「不明異常現象」紀錄；若有些文件要保密，須由審查委員會說明理由。
美國國防部也調查了軍方飛行員通報的許多無法解釋的目擊事件。國家航空暨太空總署（NASA）另成立特殊小組來檢視「不明異常現象」。特殊小組今年5月表示，由於缺乏高品質資料，加上與空中不明物體有關的話題給人負面印象，研究難有進展，而那些不明物體通常是氣球、碎片或大氣因素造成。</t>
  </si>
  <si>
    <t>https://www.cna.com.tw/news/aopl/202307150159.aspx</t>
  </si>
  <si>
    <t>賴清德副總統今（4）日出席「2023總統盃黑客松工作坊暨黑客小聚」時表示，黑客松活動具備跨領域、跨時代、全民參與的三種精神，非常有意義。他也希望未來每一年都能夠舉辦黑客松活動，而且越辦越好，讓黑客松的精神持續流傳。</t>
  </si>
  <si>
    <t>https://money.udn.com/money/story/5612/7346582</t>
  </si>
  <si>
    <t>金管會推動的開放銀行分三階段上路，第三階段「交易資訊」預計今年底前核備，最快在明年上路。第三階段將開放5大類、共35項的服務內容，包括存款、信用卡、貸款、支付及手機門號轉帳。目前開放銀行第一階段「公開資料查詢」及第2階段「消費者資訊查詢」都已上路，接下來將往第三階段「交易資訊」邁進。舉例來說，現階段開放銀行只能進行信用卡的資訊查詢功能，未來可望在與銀行合作的第三方業者APP，申請單筆交易分期，或是也能透過第三方業者APP向銀行申請貸款、定存轉活存等等。</t>
  </si>
  <si>
    <t>https://www.techbang.com/posts/108174-the-third-phase-of-open-banking-is-coming-and-it-will-be-on</t>
  </si>
  <si>
    <t>2023.08.02</t>
  </si>
  <si>
    <t>為推動智慧生活創新應用發展，高雄市政府等單位合作舉辦「支付在手，串起智慧生活 」黑客松競賽，即日至九月十五日開放徵件，預計選出五十組智慧提案，提供參與技術支持與參與創新工作坊、合作進行實證之機會，這是全台首次結合行動支付、零售與高雄真實場景資料的創新競賽
這項競賽由高雄市政府、iPass一卡通、KKCompany Technologies、LINE台灣、全家便利商店與亞灣新創園雲平台─高雄AWS雲端聯合創新中心等共同合作舉辦；無論是個人、新創公司或學研團隊，即日起可至「支付在手，串起智慧生活 」黑客松競賽網站取得相關資料、技術資源，未來也有機會獲取參與技術支持與參與創新工作坊、合作進行實證之機會
徵件的主題包含但不限於零售、內容、餐飲、金融、公益、反詐騙、影音串流應用等，除開放平台資源，合作各方將遴選一定數量之提案，額外提供技術指導、邀請參加亞馬遜「Working Backwards」創新工作坊進行更深度的合作討論。</t>
  </si>
  <si>
    <t>https://tw.news.yahoo.com/%E9%AB%98%E5%B8%82-%E6%94%AF%E4%BB%98%E5%9C%A8%E6%89%8B-%E4%B8%B2%E8%B5%B7%E6%99%BA%E6%85%A7%E7%94%9F%E6%B4%BB-%E9%BB%91%E5%AE%A2%E6%9D%BE%E7%AB%B6%E8%B3%BD-%E5%8D%B3%E6%97%A5%E8%B5%B7%E9%96%8B%E6%94%BE%E5%BE%B5%E4%BB%B6-112311746.html</t>
  </si>
  <si>
    <t>2023.08.03</t>
  </si>
  <si>
    <t>由 OpenAI 執行長 Sam Altman 共同打造的加密貨幣項目 Worldcoin，發布後引發熱烈關注，但伴隨而來的是各國政府對其虹膜掃描技術開始有隱私疑慮，肯亞政府也在 8 月 2 日首先封殺。
雖然 Worldcoin 的官方網站聲稱其對用戶隱私「完全隱密」，用戶可以選擇將其生物特徵數據以加密形式儲存，並隨時刪除該數據，不用擔心 Worldcoin 自身存取用戶隱私。
然而，從各國監管機構近期的動作來看，這項說法似乎不被買單。上個月底開始，就傳出法國數據保護監管機構 CNIL 已向 Worldcoin 展開調查，因為收集生物特徵數據的過程存在「可疑」行為。除此之外，最新消息指出，德國與英國監管機構也曾經或正著手對其進行調查。
而打響第一槍的是肯亞！該國內政部長在 8 月 2 日於 Facebook 上宣布已暫停 Worldcoin 的活動，直到相關公共機構證實對國民不存在風險為止，並對於任何進一步推動、協助、煽動或以其他方式參與或與上述活動相關的自然人或法人，肯亞政府警告將採取適當行動。</t>
  </si>
  <si>
    <t>https://www.blocktempo.com/worldcoin-cryptocurrency-project-suspended-in-kenya/</t>
  </si>
  <si>
    <t>鄭副院長表示，總統盃黑客松是在賴清德副總統擔任行政院長期間啟動，展現政府對「開放資料（Open Data）」的重視，並鼓勵政府與民間創新團隊提案及競賽，榮獲前5名的提案團隊，其提案內容將會優先落實於政策執行，而實施5屆以來，已有多項提案導入政府機關運作或上線啟用。今（2023）年總統盃黑客松則以「零碳轉型‧幸福前行」為主題，聚焦在「能源轉型」、「產業轉型」、「生活轉型」及「社會轉型」等四大轉型策略，共計154隊參賽，經過初審後，計有20隊入選，表現優異。</t>
  </si>
  <si>
    <t>https://www.ey.gov.tw/Page/9277F759E41CCD91/3de644bb-960e-452b-a515-4f373f5ff585</t>
  </si>
  <si>
    <t>2023.08.13</t>
  </si>
  <si>
    <t>2023.09.02</t>
  </si>
  <si>
    <t>唐部長指出，有關TWNIC「DNS RPZ1.0法院及行政命令攔阻域名清單」、警政署165反詐騙諮詢專線所彙整的「假投資（博弈）網站清單」，以及數位產業署「聲請詐騙網域名稱停止解析網址清單」資料集，都公開於政府資料開放平臺，以便多方參與者接取，即時更新、迅速聯防；人權團體亦可對此進行審視，以強化透明度並促進當責。</t>
  </si>
  <si>
    <t>https://ocacnews.net/article/349077</t>
  </si>
  <si>
    <t>2023.09.03</t>
  </si>
  <si>
    <t>數位部說明，兩場審議式工作坊分別在臺北（政大公企中心）與臺南（資安暨智慧科技研發大樓）辦理，邀請產官學專家和對AI議題有興趣的民眾參加，期望以公⺠參與的審議模式，形塑AI未來的發展⽅向。透過分組議題討論、交流及思辯等過程，從政府的內部應用、新興法治的監管機制、資訊識別與公平使用、資料開放與普及應用、對於智慧財產的再定義、對教育與人類認知的影響等議題面向，共同探討AI的未來。
此外，因應行政院日前公布《行政院及所屬機關（構）使用生成式AI參考指引》，會場亦展出於地端環境部署、符合規範的生成式AI互動展件，作為示範參考。</t>
  </si>
  <si>
    <t>https://n.yam.com/Article/20230903752716</t>
  </si>
  <si>
    <t>2023.10.25</t>
  </si>
  <si>
    <t>2023.09.11</t>
  </si>
  <si>
    <t>政府機關可運用生成式AI提升行政效率，撰寫報告、新聞稿、演講稿等文件，近期日本內閣即設立封閉式AI，準備國會答詢等資料。惟鑑於生成式AI可能帶來國家安全、資訊安全、倫理道德等風險，行政院已於今年8月31日通過國家科學及技術委員會所擬「行政院及所屬機關（構）使用生成式AI參考指引（草案）」，各機關得參酌訂定相關內控管理規範，而數位發展部亦制定AI評測與應用指引機制，讓AI產品開發者能有參考依據。此外，行政院原規劃於今年通過《人工智慧基本法（草案）》，但AI技術發展超乎想像且涉及層面廣泛，為求審慎，政府會通盤研議後再提出。</t>
  </si>
  <si>
    <t>https://www.ey.gov.tw/Page/9277F759E41CCD91/52541b25-38b8-4953-a761-4201c7dff2b5</t>
  </si>
  <si>
    <t>dataportal.asia</t>
  </si>
  <si>
    <t>立委黃國書26日在立法院教委會上質詢故宮院長蕭宗煌，指中國廈門三希御賞文化藝術傳播有限公司9月在第15屆海峽論壇上，舉辦「中國台北故宮文化館文創精品展」，還利用故宮Open Data圖檔製作販售文創商品，三希御賞也明擺對外宣傳主打「台北故宮IP 」，連商標LOGO都與故宮極為相似，嚴重侵害故宮的利益與國家的尊嚴。</t>
  </si>
  <si>
    <t>2023.11.06</t>
  </si>
  <si>
    <t>10月27日，趕在週末前的午後，康健雜誌於三創生活園區的UniSpace接連舉辦兩場「真健康」活動，不僅串聯產官學研關注職場員工健康，更透過數據公益讓民眾實踐真健康。</t>
  </si>
  <si>
    <t>https://www.commonhealth.com.tw/article/88959</t>
  </si>
  <si>
    <t>2023.11.15</t>
  </si>
  <si>
    <t>調查抽樣方法採用市話訪問，使用高雄市電話號碼後四碼隨機抽樣進行電話調查。加權方式依內政部最新人口資料，針對戶籍地行政區、性別、教育程度及年齡採用多重反覆加權(Raking)。母體資料來源為數位發展部政府資料開放平台https://data.gov.tw/。經費來源：鏡電視。</t>
  </si>
  <si>
    <t>https://n.yam.com/Article/20231115500846</t>
  </si>
  <si>
    <t>2023.11.11</t>
  </si>
  <si>
    <t xml:space="preserve"> 為協助上市櫃公司遴選具備專業知識及符合資格之獨立董事，證券暨期貨市場發展基金會自91年起已建置「獨立董事人才資料庫」，將符合國內獨立董事資格條件之人選，彙整其學經歷等背景資料納入資料庫，供上市（櫃）公司遴聘獨立董事免費查詢參考。目前證基會人才資料庫之獨立董事人選已約有1千伍百位，而依現行規定每位獨立董事人選至多可擔任4家上市櫃公司之獨立董事(共6仟人次)，對於上市櫃公司遴聘獨立董事頗有助益，尚不致有獨立董事人才不足之問題。</t>
  </si>
  <si>
    <t>https://www.sfb.gov.tw/ch/home.jsp?id=95&amp;parentpath=0,2&amp;mcustomize=multimessage_view.jsp&amp;dataserno=202311110001&amp;dtable=News</t>
  </si>
  <si>
    <t>陳其邁強調，高雄市政府應是全台第一個將政府資料上雲端，提供更便捷、更安全的服務，考慮在公有雲部分，AWS對於資安嚴格要求，政府可以更安心利用資料庫及強化資安管理。另高雄在轉型過程中，許多人看到挑戰，但也同時看到機會，除了努力過程、方法，最重要的是找對資源；他以石化產業為例說明，許多大型碳排公司都設在高雄，市府努力把碳負擔變成碳資產，而這些碳管理同樣也需要雲端服務。</t>
  </si>
  <si>
    <t>2023.11.08</t>
  </si>
  <si>
    <t>2023.09.12</t>
  </si>
  <si>
    <t>而根據勞動部106至111年職災分析，易發生職災之行業分別為製造業，批發及零售業與營造業。今(12)日舉辦決選暨頒獎典禮，許多參賽團隊即針對工作風險較高之情境提出創意作品，如大型設備吊掛、登高作業、化學氣體等之預防、即時通報與阻斷等，甚至當不幸發生災害，後續如何處理獲得補助與理賠，都能看見科技的力量正一步一步建造出勞工安心的工作環境。最終由「工安預防一級棒」團隊，開發20多種工安防護模組，包括安全帽、無塵衣、防護衣與腰帶等偵測，讓雇主可自行定義所需情境進行設定，獲得評審青睞，抱走金獎12萬元。</t>
  </si>
  <si>
    <t>https://n.yam.com/Article/20230912864596</t>
  </si>
  <si>
    <t>數位部自去年8月成立即備受關注。作為國家數位轉型引擎，如何完善制度，開創更多創新可能，並透過即時開放資料，讓數據應用發揮更大價值，成為當務之急。其中，數位部「法制藍圖」，由常務次長葉寧親自操刀，希望發揮「+1」精神，跳脫「圍牆花園」，達到「數位產業化」最終願景。</t>
  </si>
  <si>
    <t>https://www.ctee.com.tw/news/20230911700120-439901</t>
  </si>
  <si>
    <t>-</t>
  </si>
  <si>
    <t>Data Governance，數據治理，或資料治理，指基於提升數據價值之目的，對數據進行管理和控制，並最小化因數據而產生的相關成本和風險1。如數據共享機制、協議和技術標準等即屬於數據利用的規則和手段，為數據治理的一環。
數位經濟逐漸成為日常生活的必需以及經濟發展的關鍵，歐盟因應此趨勢著手打造歐洲單一數據市場，期盼歐盟地區的成員能在單一數據市場內共享跨行業、跨部門的數據流通之便利性，提供企業、研究人員和公部門運用大量數據，創造加乘經濟效益，使歐盟成為未來全球數據經濟的領導者2。</t>
  </si>
  <si>
    <t>2023.09.06</t>
  </si>
  <si>
    <t>交通部中央氣象局於102年便建立氣象開放資料平台，整合觀測、預報、氣候、天氣警特報、地震海嘯、數值預報及天文七大類主題資料，並持續開放更多的資料項目，及進行資料標準化精進品質，其平台會員截至今年已超過七萬名，每月平均下載達1億200萬次。
最終由AUO達達虎去爬山團隊，開發「SummitGuard：登山指南、安全防護與災害協調一體化服務」獲得評審青睞，抱走12萬獎金。</t>
  </si>
  <si>
    <t>https://www.cna.com.tw/postwrite/chi/350374</t>
  </si>
  <si>
    <t>https://udn.com/news/story/7240/7436300</t>
  </si>
  <si>
    <t>https://udn.com/news/story/123743/7438057</t>
  </si>
  <si>
    <t>https://www.cna.com.tw/postwrite/chi/351291</t>
  </si>
  <si>
    <t>https://n.yam.com/Article/20230915548720</t>
  </si>
  <si>
    <t>https://www.taiwannews.com.tw/ch/news/5001441</t>
  </si>
  <si>
    <t>https://n.yam.com/Article/20230921133681</t>
  </si>
  <si>
    <t>https://www.trade.gov.tw/Pages/Detail.aspx?nodeID=45&amp;pid=768284</t>
  </si>
  <si>
    <t>https://tw.news.yahoo.com/%E5%9C%8B%E9%81%93%E6%99%BA%E6%85%A7%E4%BA%A4%E9%80%9A%E7%AE%A1%E7%90%86%E5%89%B5%E6%84%8F%E8%B3%BD-%E7%B5%90%E6%9E%9C%E5%87%BA%E7%88%90-091903658.html</t>
  </si>
  <si>
    <t>https://ec.ltn.com.tw/article/paper/1606455</t>
  </si>
  <si>
    <t>https://tw.news.yahoo.com/%E5%87%BA%E5%B8%AD%E9%BB%91%E5%AE%A2%E6%9D%BE%E9%A0%92%E7%8D%8E%E5%85%B8%E7%A6%AE-%E8%94%A1%E8%8B%B1%E6%96%87%E5%85%88%E7%8E%87%E5%85%A8%E5%A0%B4%E7%82%BA%E5%B1%8F%E6%9D%B1%E5%B7%A5%E5%BB%A0%E5%A4%A7%E7%81%AB%E6%AD%BB%E5%82%B7%E9%BB%98%E5%93%80-%E5%88%86%E9%90%98-081505393.html</t>
  </si>
  <si>
    <t>https://www.ftvnews.com.tw/news/detail/2023924W0185</t>
  </si>
  <si>
    <t>https://ocacnews.net/article/351005</t>
  </si>
  <si>
    <t>https://tw.news.yahoo.com/2023%E7%B8%BD%E7%B5%B1%E7%9B%83%E9%BB%91%E5%AE%A2%E6%9D%BE-%E5%A0%85%E5%AE%9A%E8%B5%B0%E5%90%91%E5%B9%B8%E7%A6%8F%E7%9A%84%E9%81%93%E8%B7%AF-052656958.html</t>
  </si>
  <si>
    <t>https://www.ydn.com.tw/news/newsInsidePage?chapterID=1617782&amp;type=highlight</t>
  </si>
  <si>
    <t>https://www.cdnnews.com.tw/articles/879011</t>
  </si>
  <si>
    <t>https://today.line.me/tw/v2/article/PG238E5</t>
  </si>
  <si>
    <t xml:space="preserve">作者為前台北市副市長黃珊珊：逝者已矣，來者可追，現代化的國家，不應該只是補助硬體裝備或發高額津貼，最重要的是必須立即建立相關建築與危險物品管理的資訊平台，要求每個單位都開放資料並通報消防局建置數據資料庫，結合智慧派遣系統，讓消防員可以事先掌握事故現場基本資訊，才不會讓憾事一再發生！
</t>
  </si>
  <si>
    <t>https://tw.news.yahoo.com/%E9%BB%83%E7%8F%8A%E7%8F%8A-%E6%B6%88%E9%98%B2%E5%88%B6%E5%BA%A6%E5%81%A5%E5%85%A8%E6%9B%B4%E9%9C%80%E8%90%BD%E5%AF%A6-%E6%B6%88%E9%98%B2%E5%93%A1%E6%89%8D%E6%9C%83%E5%AE%89%E5%85%A8-211500783.html</t>
  </si>
  <si>
    <t>綠黨秘書長王彥涵表示，近年來，台灣政府以獲得全球開放資料指數（Global Open Data Index, GODI）第一名為榮，然而這項光榮的成就卻掩蓋了許多令人憂心的現實，例如審計部最近檢視外交部資料開放成果時，發現超過二成的資料現行機器無法讀取，又如在疫情期間，社會大眾也面對疫情資料的混亂和疫苗發展資訊的不足。
王彥涵指出，在追求淨零碳排的目標下，也出現生物多樣性數據嚴重短缺的問題，農地種電、侵入式地熱開發，不僅影響台灣的生態環境，也將對未來永續發展造成嚴重的障礙，此外，近年各項公共工程的工安事件、道路橋樑等基礎維護資訊的不公開，加重了民眾生命財產的風險，呼籲政府應以開放為原則，將不開放視為例外，唯有如此，才能實現社會的共謀共治。</t>
  </si>
  <si>
    <t>https://www.ettoday.net/news/20230927/2591497.htm</t>
  </si>
  <si>
    <t>氣候風險管理公司總經理彭啟明分享「亞洲的氣候治理與開放資料」時提到，在國外已有多國針對公司治理開放資料制定明確法令，本國法令仍處於無法因應產業發展的停滯狀態，台灣開放資料的不足，可借鏡亞洲國家，並即刻展開行動。</t>
  </si>
  <si>
    <t>https://esg.gvm.com.tw/article/34385</t>
  </si>
  <si>
    <t>論壇一開始先邀請資深氣候達人彭啟明博士發表專題演講，分享「亞洲的氣候治理與開放資料」。</t>
  </si>
  <si>
    <t>https://www.cna.com.tw/postwrite/chi/352806</t>
  </si>
  <si>
    <t>http://hk.crntt.com/doc/1067/7/9/4/106779412.html?coluid=1&amp;kindid=0&amp;docid=106779412&amp;mdate=1003143633</t>
  </si>
  <si>
    <t>https://tw.news.yahoo.com/%E9%BB%91%E6%BD%AE%E5%9F%BA%E9%87%91%E6%9C%83%E5%85%AC%E9%96%8B%E9%AF%A8%E8%B1%9A%E7%9B%AE%E6%93%8A%E8%B3%87%E6%96%99%E5%BA%AB-201000142.html</t>
  </si>
  <si>
    <t>2023.10.09</t>
  </si>
  <si>
    <t>- 竹市府對外公開資料品質全數已達中央檢核之「金標章」等級
- 白金標章等級的開放資料筆數也從原本的0%提升到95%
- 資料量較去年相比增加 1 倍之多，總數達 800 筆以上
-市長高虹安為了推動開放資料，日前頒佈「新竹市政府資料交換共通標準作業原則」</t>
  </si>
  <si>
    <t>https://www.hccg.gov.tw/ch/home.jsp?id=30122&amp;parentpath=0,16,30121&amp;mcustomize=municipalnews_view.jsp&amp;dataserno=202310090001&amp;aplistdn=ou=municipalnews,ou=message,ou=ap_root,o=hccg,c=tw&amp;toolsflag=Y&amp;mserno=201601300307</t>
  </si>
  <si>
    <t>開放資料評比、政府資料開放</t>
  </si>
  <si>
    <t>- 竹市府對外公開資料品質全數已達中央檢核之「金標章」等級
- 白金標章等級的開放資料筆數也從原本的0%提升到95%
- 資料量較去年相比增加 1 倍之多，總數達 800 筆以上
- 市長高虹安表示，跨機關資料分散且格式駁雜不一，是推動資料共享及創新服務的難題，為解決此一困境，頒佈「新竹市政府資料交換共通標準作業原則」</t>
  </si>
  <si>
    <t>https://udn.com/news/story/7324/7493567</t>
  </si>
  <si>
    <t>https://ocacnews.net/article/352101</t>
  </si>
  <si>
    <t>2023.10.11</t>
  </si>
  <si>
    <t>- 截至9月底，已協助掌握全國人民個資的內政部警政署、勞保局、健保署等26個資安A級機關完成導入T-Road。
- 數位部表示，預計今年底完成20個資安A級機關導入零信任機制。
- 預計明年底將掌有全國人民個資的47個資安A級機關全數導入T-Road與零信任架構。
- 零信任架構部分，概念上即「永不信任，持續驗證」，要求系統多方認證。
- 司法院為加速審查國民法官線上勾稽，由數位部協助導入T-Road，取得不同機關業管資料，並提升產生機制的信賴度。</t>
  </si>
  <si>
    <t>https://ocacnews.net/article/352281</t>
  </si>
  <si>
    <t>數位部、T-Road、零信任架構、資安A級機關、國民官</t>
  </si>
  <si>
    <t>2023.10.17</t>
  </si>
  <si>
    <t>- 苗栗縣政府目前上架資料共1067筆，在全國地方政府排名第8
- 資料品質獲金、銀、銅標章分別占17、19、34％，尚有努力空間</t>
  </si>
  <si>
    <t>https://n.yam.com/Article/20231017468524</t>
  </si>
  <si>
    <t>2023.10.20</t>
  </si>
  <si>
    <t>蕭家恒認為，普及開放資料（open data）這概念十分重要，「政府部門或公營機構常會掃描一些地方，但那些資料總被隔絕在私人archive（檔案）內，我覺得很可惜」。他饒有興致地說起地政總署1924年至今的航空攝影，那些俯瞰鏡頭若夠整全，理論上，可搭出一年又一年的香港立體模型 ( 可以運用在 VR 建模工作 )。</t>
  </si>
  <si>
    <t>https://ol.mingpao.com/ldy/cultureleisure/culture/20231020/1697740398889/%E5%85%83%E5%AE%87%E5%AE%99%E8%AE%8A%E3%80%8C%E6%99%82%E5%85%89%E6%A9%9F%E3%80%8D-%E9%BB%9E%E9%BB%9E%E6%BB%B4%E6%BB%B4%E4%BF%9D%E8%82%B2%E8%88%8A%E5%9C%B0</t>
  </si>
  <si>
    <t>開放資料、VR</t>
  </si>
  <si>
    <t>2023.10.21</t>
  </si>
  <si>
    <t>- 唐鳳表示，電商網站若被偽冒，業者報案+執法機關要求下，數位部的台灣網路資訊中心（TWNIC）可以配合執行停止解析，讓民眾不會連上假網頁。
- 若之後有候選人網站遭偽冒，也可以在檢調要求下協助處理。
- 目前有一套已運作的機制叫停止解析（DNS RPZ），讓偽冒的網頁停止解析，民眾就無法連上假網頁。</t>
  </si>
  <si>
    <t>https://tw.news.yahoo.com/%E5%94%90%E9%B3%B3%EF%BC%9A%E5%80%99%E9%81%B8%E4%BA%BA%E7%B6%B2%E7%AB%99%E8%8B%A5%E9%81%AD%E5%81%BD%E5%86%92-%E6%95%B8%E4%BD%8D%E9%83%A8%E5%8F%AF%E5%8D%94%E5%8A%A9%E5%81%9C%E6%AD%A2%E8%A7%A3%E6%9E%90-034620853.html</t>
  </si>
  <si>
    <t>停止解析</t>
  </si>
  <si>
    <t>跟資安較有關係</t>
  </si>
  <si>
    <t>- 目前有一套已運作的機制叫停止解析（DNSRPZ），讓偽冒網頁停止解析，民眾就無法連上假網頁。
- 必須是被偽冒的電商去報案，再由檢警單位請數位部協助執行停止解析工作。
- 停止解析的網頁資料也會公布在開放資料，讓外界可以監督。
- 靠近選舉時，若有候選人網站被偽冒、或是深度偽造影音，同樣可以在執法機關的判斷與要求下，再由台灣網路資訊中心（TWNIC）執行停止解析。</t>
  </si>
  <si>
    <t>https://money.udn.com/money/story/5612/7518279</t>
  </si>
  <si>
    <t>開放資料、停止解析</t>
  </si>
  <si>
    <t>2023.10.26</t>
  </si>
  <si>
    <t>- 明揚大火中，因為政府化學雲的資訊問題，讓消防人員進入火場救災時，甚至連即將面對甚麼都不知道，剝奪消防弟兄的資訊權與退避權，而造成無辜死傷。
- 數發部在內部了解後，則以「頻寬提供不足」及「資料整合問題」來回覆。</t>
  </si>
  <si>
    <t>https://n.yam.com/Article/20231026198571</t>
  </si>
  <si>
    <t>資料整合</t>
  </si>
  <si>
    <t>- 國發會為啟動研擬下階段的「臺灣開放政府國家行動方案」，舉辦承諾事項意見徵集說明會
- 將於112年11月23日至12月9日期間舉行，全臺合計5場次
- 110年開始施行「臺灣開放政府國家行動方案」，方案內包括開放資料、公民參與及反貪腐等領域在內，共計19項承諾事項</t>
  </si>
  <si>
    <t>https://n.yam.com/Article/20231106410654</t>
  </si>
  <si>
    <t>開放資料、開放政府</t>
  </si>
  <si>
    <t>2023.11.07</t>
  </si>
  <si>
    <t xml:space="preserve">- 唐鳳說，未來將推「公共程式」，將政府開發的軟體原始碼變為公共財，發揮效益。
- 「政府資料開放平台」運作十年，目前已累計超過5萬5000多項資料集
- 未來將以「政府資料開放平台」作為實證場域，導入AI公共程式，讓各界能更容易找到所需之開放資料，歡迎各級機關下載公共程式、資料和模型，自行調校改善。
- 數位部舉例，中央氣象署所開放的「自動雨量站-雨量觀測資料」資料集、台中市政府數位治理局所開放的「台中市公告類加值應用圖輯」資料集，可以開發多種系統，是運用政府開放資料所創造出的便民服務。 </t>
  </si>
  <si>
    <t>https://www.merit-times.com/NewsPage.aspx?unid=865781</t>
  </si>
  <si>
    <t>開放資料、高應用價值、公共程式、公私協力</t>
  </si>
  <si>
    <t xml:space="preserve">- 預計明年3月政府也會將軟體原始碼供開源取用。
- 政府資料開放平台新增「高應用價值主題專區」，優先聚焦於氣候環境、災害防救、交通運輸、健康醫療、能源管理與社會救助等六項主題。
- 基於「公共程式」（public code）的精神，於明年3月將開源政府程式的原始碼，讓各界能更容易找到所需的開放資料，並將邀集全民協力擴展功能。 </t>
  </si>
  <si>
    <t>https://anntw.com/articles/20231106-Jrcf</t>
  </si>
  <si>
    <t>開放資料、高應用價值、公共程式</t>
  </si>
  <si>
    <t>- 當政府適時開放資料，再加上民間多元應用，即能發揮資料的潛在價值，創造資料經濟。
- 院長也提醒政府資料開放應做好個人資料保護
- 十大神農獎林東海分享運用氣象大數據及智慧科技提升三星蔥栽種技術，感謝政府推動資料開放，能夠自主運用建置智慧化三星蔥農場
-府機關也透過「黑客松」類型活動，廣泛徵集民間創意，並透過跨世代、跨領域的經驗交流，將資料、數據結合專業知識，協力解決各類公共議題
- 政府資料開放的三項基本觀念
 -- 在做好個資保護前提下，儘量開放資料予社會大眾運用，促進更多公共利益產生
 -- 以使用者角度出發，以人民需求為考量，並以更貼心及同理的方式釋出更多民眾需要的資料
 -- 鼓勵跨部會共享資訊，讓開放資料更完整精確</t>
  </si>
  <si>
    <t>https://www.ey.gov.tw/Page/9277F759E41CCD91/1ad86caf-2dc4-48fe-927e-5f1d5895d21b</t>
  </si>
  <si>
    <t>開放資料、公私協力</t>
  </si>
  <si>
    <t>- 唐鳳表示未來也推廣公共程式（Public Code），把政府開發軟體原始碼當作公共財，開放全民使用
- 政府開放資料平台預計明年3月開放原始碼
- 政府資料開放平台特別新增「高應用價值主題專區」，聚焦於氣候環境、災害防救、交通運輸、健康醫療、能源管理、社會救助等6項主題
-唐鳳指出，非個資數據已經是全球關注焦點，為強化隱私保護並增加數據的可用性，數位部已經推出「數據公益運作指引」跟「隱私強化技術應用指引」，也會在恪守個資法前提下，協同各部會逐步建構隱私強化基礎建設
- 未來數位部會以政府資料開放平台作為實證場域，導入AI公共程式</t>
  </si>
  <si>
    <t>https://ocacnews.net/article/354450</t>
  </si>
  <si>
    <t>開放資料、公私協力、開放源碼、AI、公共程式</t>
  </si>
  <si>
    <t>- 台中市政府勇奪「金質獎」與「人氣獎」雙料獎項，且為六都中唯一連續五年獲獎
- 數位時代，讓民眾應用數位工具使用資料，達到真正的資料開放，達成陽光透明與數位便民
- 台中市地圖開放大眾回朔20年前歷史典藏資料，此舉為地方政府唯一獨有</t>
  </si>
  <si>
    <t>https://www.upmedia.mg/news_info.php?Type=143&amp;SerialNo=186628</t>
  </si>
  <si>
    <t>開放資料評比、開放資料</t>
  </si>
  <si>
    <t>- 臺北市政府榮獲「政府資料開放金質獎」地方政府組第一組第1名
- 目前臺北市之開放資料收錄於「臺北市資料大平臺」（https://data.taipei），收錄交通、財稅、工務、醫療、統計、文化等22類主題分類之開放資料
- 今年的開放資料金質獎較往年更注重資料的標準與應用的比重</t>
  </si>
  <si>
    <t>https://tw.news.yahoo.com/%E8%87%BA%E5%8C%97%E5%B8%82%E5%86%8D%E5%A5%AA%E6%94%BF%E5%BA%9C%E8%B3%87%E6%96%99%E9%96%8B%E6%94%BE%E9%87%91%E8%B3%AA%E7%8D%8E%E6%A6%9C%E9%A6%96-%E8%B6%99%E5%BC%8F%E9%9A%86-%E6%8C%81%E7%BA%8C%E6%8E%A8%E5%BB%A3%E5%A4%A7%E7%9C%BE%E5%8F%83%E8%88%87-115748786.html</t>
  </si>
  <si>
    <t>政府開放資料（Open Data），是指讓政府透民化並提升民眾的參與感與知的權利，國發會也相對應的設置了「政府資料開放平台」，並連結中央各部會與地方政府開放的情形，但對於政府的施政透明、提升民眾參與、提升施政效能、強化監督力量的初衷，至今實現了多少，雖然立法院透明化有直播有影片確實有某程度的增加民眾的參與感，有些甚至可以在影音平台有剪輯過的可以觀看，不管是立委質詢與官員辯答都是有人關注且觀看，但只有看並不是到很參與的一環，但確實比起以前透明許多很實在</t>
  </si>
  <si>
    <t>https://vocus.cc/article/654af040fd8978000162e95e</t>
  </si>
  <si>
    <t>牢騷一篇，只是稍微提到開放政府的現況，無建言</t>
  </si>
  <si>
    <t>2023.11.09</t>
  </si>
  <si>
    <t>- 新竹縣政府榮獲數位發展部「資料開放金質獎」第二組地方政府第1
- 有超過700筆資料集，獲評為金標章
- 新竹縣政府雲端聯合服務中心－公立暨非營利幼兒園招生」平台，開放線上報名，查詢名額、報名人數、抽籤、查詢結果
- 應用My Data，獲頒2023 智慧城市卓越貢獻獎—「智慧治理」獎項
- 「竹北交流道周邊智慧交通管理控制系統建置計畫」榮獲「IDC2023 未來企業大獎-智慧城市類別-最佳互連城市獎」</t>
  </si>
  <si>
    <t>https://www.cna.com.tw/postwrite/chi/356308</t>
  </si>
  <si>
    <t>2023.11.17</t>
  </si>
  <si>
    <t>地方政府第二組總共有 3 個第一名哦！
[LINK](https://www.penghu.gov.tw/ch/home.jsp?id=10088&amp;act=view&amp;dataserno=11211100007)</t>
  </si>
  <si>
    <t>2023.11.10</t>
  </si>
  <si>
    <t>- 澎湖縣政府榮獲行政院頒發112年度「資料開放金質獎」地方政府組第二組第1名
- 所開放的439項資料集，均符合數位發展部資料開放平臺資料集檢測品質最高的白金標章標準</t>
  </si>
  <si>
    <t>https://www.penghu.gov.tw/ch/home.jsp?id=10088&amp;act=view&amp;dataserno=11211100007</t>
  </si>
  <si>
    <t>- g0v 的 Denken 指出，想監督立委，在立法院網站至少五步驟，現行無軟體可貼近民眾使用需求。
- 希望透過群眾的力量，繼續擴充這個應用程式的功能，繼續整合大量立法院會議資訊，提供開放資料API。
- 未來希望進一步推出「搜尋法案進展」、「訂閱議題關鍵字」功能
- 開放國會《立法院大小聲》app募資至11/27為止</t>
  </si>
  <si>
    <t>https://money.udn.com/money/story/5635/7565630?from=edn_newestlist_cate_side</t>
  </si>
  <si>
    <t>開放政府、開放資料、民眾參與、g0v、OCF</t>
  </si>
  <si>
    <t>- 澎湖縣政府榮獲行政院頒發112年度「資料開放金質獎」地方政府組第二組第1名
- 在所開放的439項資料集，均符合數位發展部資料開放平臺資料集檢測品質最高的白金標章標準
- 縣府連續兩年榮獲「資料開放金質獎」第1名的肯定。</t>
  </si>
  <si>
    <t>https://www.lifetoutiao.news/222133/</t>
  </si>
  <si>
    <t>2023.11.13</t>
  </si>
  <si>
    <t>- 世新在第28屆「大專校院資訊應用服務創新競賽」奪得第一、第二名及三項佳作
- 世新「數據智能結合各專業」的辦學理念
- 結合政府資料開發整合式寵物服務APP的《PNN深度汪學》第二名
- 《水域安全放心遊》整合政府開放資料、地理空間資訊、TGOS地圖協作平台，以視覺化方式呈現水域遊憩風險，建立水域安全觀念，獲得【教育開放資料組】佳作。</t>
  </si>
  <si>
    <t>https://www.cna.com.tw/postwrite/chi/356682</t>
  </si>
  <si>
    <t>政府開放資料運用</t>
  </si>
  <si>
    <t>在AI的許多應用領域中，不論是自然語言處理、電腦視覺還是機器學習，資料都是建構模型的基石。模型的學習與進化，離不開大量且高品質的資料為支撐。資料的豐富性和多樣性直接影響到AI系統的準確性和效能，而資料的收集和處理則成為AI發展的關鍵環節，從提升機器學習演算法的準確性到分析消費者行為，制定出更有效的商業策略，這一切如果沒有資料就無從談起。
在全球經濟中，資料已經從一個輔助資源轉變為企業維持競爭優勢、政府加強公共服務和國家安全的主要資產。政府機關透過資料可以更精確地規劃城市發展，提高公共服務的效率，因此，無論是對企業還是政府而言，擁有資料的掌握和運用能力，意味著擁有了引領未來的重要武器。</t>
  </si>
  <si>
    <t>https://infosecu.technews.tw/2023/11/13/how-important-is-the-data-required-by-the-ai-%E2%80%8B%E2%80%8Bindustry/</t>
  </si>
  <si>
    <t>你知道自己選出的立委，平時在做什麼嗎？近日國內有工程師，首度以開源方式，開發出自動爬梳資料，監督立委提案、質詢進度的《立法院大小聲》app，目前專案進入募資階段。
 Denken說：「大多數人對立法院的認知仍然停留在表面，我們想改變這一點。」未來希望進一步推出「搜尋法案進展」、「訂閱議題關鍵字」功能，讓大眾動動手指就能追蹤法案，將減輕公民參政難度。
Denken更表示，開發這軟體的動力與感召，來自剛過完 11 歲生日的 g0v 大黑客松，持續吸引並推廣工程師「寫程式改造社會」的精神，以及開放文化基金會（Open Culture Foundation，簡稱OCF）的全力支持，透過推廣開放科技和跨界合作，促成更開放的數位公民社會。</t>
  </si>
  <si>
    <t>立院大小聲</t>
  </si>
  <si>
    <t>故宮表示，自10月16日起，已終止對該3家公司的圖像授權關係，已繳交的權利金也不予退還，已取得的圖像檔案應刪除並停止使用，另該3家公司2年內不得再向故宮提出數位物件利用申請。
故宮呼籲國內外民眾及廠商，凡以「台北故宮」名義對外宣稱取得授權者，皆非屬故宮授權，而有侵權之虞，請各界支持正版合法授權，勿輕信不實廣告推播，以免誤觸法規損及自身權益。
故宮表示，若有文物圖像使用需求，應循正規途徑尋求合作，或可善加利用故宮OPEN DATA資料開放平台的免費圖檔，下載所需使用。</t>
  </si>
  <si>
    <t>https://tw.sports.yahoo.com/news/%E5%BB%88%E9%96%80%E5%85%AC%E5%8F%B8%E6%89%93-%E4%B8%AD%E5%9C%8B%E5%8F%B0%E5%8C%97%E6%95%85%E5%AE%AE-%E5%90%8D%E8%99%9F-%E6%95%85%E5%AE%AE%E6%BA%96%E5%82%99%E8%A8%B4%E8%A8%9F-142107895.html</t>
  </si>
  <si>
    <t>可善加利用「故宮OPEN DATA資料開放平台」免費圖檔，下載所需使用。
故宮目前就上述二項侵權案積極處理中，也將於11月24日舉辦「博物館開放授權與AI應用國際論壇」，邀請來自台、美、法、荷等諸多博物館典藏、智慧財產、數位及科技領域的學者專家，共同探討博物館開放資料、授權管理與AI應用等前瞻性議題。
此論壇為故宮今年圖檔外流事件及侵權案發生後，重新梳理各項圖檔儲存、管理、應用及保護等相關業務，深思與檢討後，決定向國內外專家學者請益而召開，期待藉此吸取國內外對於授權管理之專業經驗，為故宮及我國博物館界的未來發展，帶來新的思維和策略。</t>
  </si>
  <si>
    <t>https://www.ettoday.net/news/20231115/2623794.htm?redirect=1</t>
  </si>
  <si>
    <t>2023.11.22</t>
  </si>
  <si>
    <t>行政長官上月發表施政報告，宣布加快數字政府建設，提升「治理能力」和 「治理效能」。近年政府大力支持文化創意產業，其實政府可考慮透過擴大數字服務收集更多文化數據，用於優化文化政策。
文化數據包含：（一）文化資產，如博物館藏品目錄、（二）文化參與及消費，如場地入場人次 和（三）文化產業，，如產業營業額。
台灣自1992年開始出版的「文化統計」年刊現在已經演變成一個系統化的一站式網絡
由此可見，台灣比香港更重視文化數據建設。
台灣的文化統計網不僅針對當地的文化現象，還與不少的經濟體接軌，</t>
  </si>
  <si>
    <t>https://www.hk01.com/01%E8%AB%96%E5%A3%87/963887/</t>
  </si>
  <si>
    <t>「112年度政府資料開放獎勵活動」，新北市衛生局及新北市立聯合醫院分別榮獲「資料開放人氣獎」第3名、第4名及第5名獎項，是獲得最多人氣獎的單位。</t>
  </si>
  <si>
    <t>https://tw.news.yahoo.com/%E6%96%B0%E5%8C%97%E8%A1%9B%E7%94%9F%E5%B1%80-%E5%B8%82%E7%AB%8B%E8%81%AF%E9%86%AB%E6%A6%AE%E7%8D%B2%E6%94%BF%E5%BA%9C%E8%B3%87%E6%96%99%E9%96%8B%E6%94%BE%E4%BA%BA%E6%B0%A3%E7%8D%8E-085441940.html</t>
  </si>
  <si>
    <t>將從「政府資料開放平臺」開始導入 AI 公共程式，讓使用者更容易找到所需的開放資料、回饋修正建議，並且以各縣市政府的 1999 服務專線為優先案例，在四年內協助有意願的單位，減輕公務同仁的行政負擔，也提升民眾取用公共服務的便利度。</t>
  </si>
  <si>
    <t>https://pdis.nat.gov.tw/zh-TW/blog/%E6%98%94%E6%97%A5%E5%9B%9E%E9%9F%BF-%E6%9C%AA%E4%BE%86%E4%B9%8B%E8%81%B2/</t>
  </si>
  <si>
    <t>2023.11.23</t>
  </si>
  <si>
    <t>美國交通部聯邦公路管理局於2023年11月16日宣布，根據先進數位施工管理系統撥款計劃，向 10 個州的 10 個項目提供 3,400 萬美元的撥款。
賓州交通部 (PennDOT) 獲撥款 391萬 美元， 將利用其資金開發開放資料標準，以消除對紙本的需求，並使設計和施工團隊之間更容易用數位方式交換資訊。</t>
  </si>
  <si>
    <t>https://www.trademag.org.tw/page/newsid1/?id=7892124&amp;iz=3</t>
  </si>
  <si>
    <t>2023.11.24</t>
  </si>
  <si>
    <t>11月4日舉辦「從賞玩故宮 啟動教育新宇宙」──故宮文物 X 新興科技線上教案成果分享。
老師們參與「從賞玩故宮 啟動教育新宇宙」2場工作坊後所誕生的精彩教案。
故宮的OPEN DATA提供完整深入的主題式文物介紹，使老師們可汲取靈感，故宮提供的教學懶人包，也有多種教案及可用的有趣素材，供老師們開發運用。
案成果不僅於此次線上成果分享，也都同步上傳故宮線上學校教學資源（https://ipalace.npm.edu.tw/techplans），歡迎各界教學推廣使用。</t>
  </si>
  <si>
    <t>https://n.yam.com/Article/20231124315433</t>
  </si>
  <si>
    <t>勤業眾信聯合會計師事務所與政治大學金融科技研究中心於今（23）共同舉辦「迎向未來金融服務生態圈─2023金融科技趨勢與展望」論壇，並發布《2023 台灣金融科技趨勢展望》報告，彙整「國內外金融科技應用發展、企業敏捷建立、數位科技導入、金融監管趨勢」四大關鍵，為台灣金融科技發展的關注焦點。勤業眾信建議，金融相關企業應檢視組織敏捷程度，並強化「組織文化、數位人才庫、數位科技運用、資安治理」以因應變化快速、且不可預測的市場，有效發揮生態系的威力。</t>
  </si>
  <si>
    <t>https://www.cna.com.tw/postwrite/chi/357776</t>
  </si>
  <si>
    <t>桃園市客運公車，連官方、民間版的客運App至少有8種，提供即時到站資訊的準確度也不一樣，資料正確度差異大，怨聲多。
市府有提供Open Data（開放資料），有些民間創意應用程式設計者會運用公開的資料設計客運公車APP，有時候會被誤為官方版本。</t>
  </si>
  <si>
    <t>https://udn.com/news/story/7324/7596081</t>
  </si>
  <si>
    <t>2023.12.02</t>
  </si>
  <si>
    <t>高市長指出，市府今年在開放資料上做了許多的努力，目前所有的開放資料，都已經獲得金標章的認證，未來這些開放資料跟開放場域，希望能夠提供給創新創業的夥伴們，讓創新創業者使用市府開放資料應用在它們的產品、服務跟應用上</t>
  </si>
  <si>
    <t>https://tw.news.yahoo.com/2023%E7%94%A2%E6%A5%AD%E5%89%B5%E6%96%B0%E8%AB%96%E5%A3%87-%E4%B8%A8%E7%AB%B9%E5%B8%82%E5%BA%9C%E6%94%9C%E6%89%8B%E5%89%B5%E6%96%B0%E5%89%B5%E6%A5%AD%E5%8D%94%E6%9C%83%E6%89%93%E9%80%A0%E5%AE%89%E5%BF%83%E5%89%B5%E6%A5%AD%E7%92%B0%E5%A2%83-015924557.html</t>
  </si>
  <si>
    <t>10月拿獎，到12月還在吹</t>
  </si>
  <si>
    <t>2023.11.29</t>
  </si>
  <si>
    <t xml:space="preserve">位發展部為了推動公民參與公共建設，攜手地方推出「公民科技試驗場域示範案」，並於今天(29日)展示成果。數位部長唐鳳表示，未來將以Public Code公共程式的理念，公開本次成果的程式碼，提供各界自由加值運用。明年起也將正式推出「台灣公共程式平台code.gov.tw」，讓需要的單位都可一鍵導入來應用。 </t>
  </si>
  <si>
    <t>https://www.rti.org.tw/news/view/id/2188131</t>
  </si>
  <si>
    <t>高雄市交通局推出了公有停車場服務資訊網（網址https://kpp.tbkc.gov.tw），為高雄的駕駛族提供了一站式的停車解決方案。提供了即時停車位資訊、費率、位置以及服務時間等詳盡資訊，方便駕駛者輕鬆找到適合的停車場。
為了響應政府開放資料政策，交通局積極將公有停車場資訊以開放資料的形式呈現，并且建立了應用程式介面API。這讓民間業者更便捷地接入這些資訊，為車主提供更多元化的停車服務。。</t>
  </si>
  <si>
    <t>https://focus.586.com.tw/2023/12/04/p290884/</t>
  </si>
  <si>
    <t>2023 Q4</t>
  </si>
  <si>
    <t>智慧城市的範疇則更廣，包括食衣住行育樂、醫療、公共安全、電子化政府服務等，其中政府相對需要較多投入的是交通、教育、住宅、醫療、公共安全等。而生命、生活、生產與生態則是智慧城市的四大主軸。
總結來說，Open Data與數位政府將是智慧城市的基礎，也是未來國家發展的方向。</t>
  </si>
  <si>
    <t>https://n.yam.com/Article/20231125999081</t>
  </si>
  <si>
    <t>日本則因其政府對數位服務發展的支持以及對免費「開放資料」的開放態度而受到高度讚揚。但另一方面，個人編號卡與健康保險卡的一體化上發生錯誤等問題也接連出現</t>
  </si>
  <si>
    <t>https://www.nippon.com/hk/news/yjj2023113000996/</t>
  </si>
  <si>
    <t xml:space="preserve">全球網路安全領導者Forescout今天發布了《SIERRA:21——生活在邊緣》(SIERRA:21 – Living on the Edge)，分析了在OT/IoT路由器和開放原始碼軟體組件中新發現的21個漏洞。
介紹了對Sierra Wireless AirLink蜂窩路由器及其一些開放原始碼組件（如TinyXML和OpenNDS）的研究。Sierra Wireless路由器很受歡迎，一個Wi-Fi網路開放資料庫顯示，全球有24.5萬個網路在各種應用中使用Sierra Wireless。例如，Sierra Wireless路由器用於警車與中央網路管理系統的連接或流式監控視訊、製造廠的工業資產監控、醫療設施的臨時連接，以及管理電動汽車充電站。這21個新漏洞有可能導致重要通訊中斷，從而影響日常生活。 </t>
  </si>
  <si>
    <t>https://www.cna.com.tw/postwrite/chi/358944</t>
  </si>
  <si>
    <t xml:space="preserve">「瑪吉姆姆」團隊也導入科技觀光，提出利用空拍機建模3D地形創造互動，連結政府Open data提供天氣預報與施工訊息等，提供茂林地區的安全旅遊指南改善觀光環境，守護當地居民與旅客的安全。 </t>
  </si>
  <si>
    <t>https://n.yam.com/Article/20231207372113</t>
  </si>
  <si>
    <t>嘉義市113年度公告土地現值及公告地價。如有大量下載最新地價資料需求者，將同步公開於「嘉義市政府政府資料開放平台」提供民眾下載，歡迎多加利用。</t>
  </si>
  <si>
    <t>https://n.yam.com/Article/20231207382108</t>
  </si>
  <si>
    <t>高公局因應高速公路全面進入計程電子收費及智慧科技的發展，使所蒐集的各式交通數據，廣為產官學研各界使用，舉辦競賽提供國道交通事故資料、交通事故簡訊通報狀況資料、施工路段等資料，可搭配已公開的交通資料庫、易壅塞路段、氣象、觀光資訊網等開放資料，進行整合分析及預測使用。</t>
  </si>
  <si>
    <t>https://www.ydn.com.tw/news/newsInsidePage?chapterID=1635683</t>
  </si>
  <si>
    <t>臺灣生物多樣性資訊聯盟（TBIA）於12月12日正式推出「生物多樣性資料庫共通查詢系統」平台(TBIA入口網)，整合臺灣10個生物多樣性相關機構的龐大生態資訊，資料累計餘1800萬筆，為國內外生態學研究者、政府機構、環境保育人士以及對生態資訊感興趣的廣大公眾提供一站式查詢服務，促進社保育與研究，聯盟夥伴秉持對開放資料共享的理念，推廣資料開放共享。</t>
  </si>
  <si>
    <t>https://www.cna.com.tw/postwrite/chi/359388</t>
  </si>
  <si>
    <t>生物多樣性資料庫共通查詢系統：https://tbiadata.tw | 海洋保育資料倉儲系統：https://iocean.oca.gov.tw/OCA_datahub/</t>
  </si>
  <si>
    <t>合國家數據、推動「智慧運輸發展策略」。柯文哲提出建立標準化資料並開放資料，運用數據扶植產業，並與民間整合，推行「全國一站通行的交通APP」。</t>
  </si>
  <si>
    <t>https://www.tpp.org.tw/newsdetail/3123</t>
  </si>
  <si>
    <t>柯文哲的交通政策</t>
  </si>
  <si>
    <t>TBIA聯盟新夥伴經濟部水利署累積20年河川情勢調查資料，也將填補河川生態的空缺。
「活的資料庫就是資料持續、不斷的成長，再加上民眾大量使用、引用，讓它發揮效果。」農業部生物多樣性研究所長兼TBIA現任會長楊嘉棟說，並邀集握有資料庫或資料生產者加入。</t>
  </si>
  <si>
    <t>https://e-info.org.tw/node/238158</t>
  </si>
  <si>
    <t>數字誇大。公稿寫1800萬筆，這邊四捨五入就變2000萬筆了</t>
  </si>
  <si>
    <r>
      <rPr>
        <rFont val="Arial"/>
        <color theme="1"/>
        <sz val="10.0"/>
      </rPr>
      <t xml:space="preserve">如何善用可信任的AI落實普惠金融，產、官、學界提出五大解方。第一，善用「邊緣AI」（Edge AI）。第二，用數據解決偏見問題。第三，主管機關要擁抱創新、避免法規障礙。第四，數據取得需要政府出面統合。第五，善用生成式AI擴大金融防詐，提升普惠金融服務品質。
</t>
    </r>
    <r>
      <rPr>
        <rFont val="Arial"/>
        <b/>
        <color theme="1"/>
        <sz val="10.0"/>
      </rPr>
      <t>第四點提供應整合如人臉辨識的資料，而隱私問題就留給人民自已決定。</t>
    </r>
  </si>
  <si>
    <t>https://money.udn.com/money/story/5613/7641796?from=edn_newestlist_cate_side</t>
  </si>
  <si>
    <t>對於需要整各高度敏感資料提出需求，但是配套措施又隨便寫寫，細思極恐。</t>
  </si>
  <si>
    <t>「Cofacts 真的假的」在開放資料中觀察到具渲染力的文字，得以判斷選舉前1個月，不實訊息增加幅度會達到高峰，比前1個月超出40%。</t>
  </si>
  <si>
    <t>https://tw.news.yahoo.com/95-%E6%B0%91%E7%9C%BE%E6%8C%87%E5%81%87%E6%96%B0%E8%81%9E%E5%BD%B1%E9%9F%BF%E9%87%8D-cofacts-%E9%8C%AF%E8%AA%A4%E8%B3%87%E8%A8%8A%E5%82%B7%E6%B0%91%E4%B8%BB-021607847.html</t>
  </si>
  <si>
    <t>cofacts</t>
  </si>
  <si>
    <t>相關資料並同步公開於「新竹縣政府資料開放平台」提供民眾下載，歡迎多加利用。</t>
  </si>
  <si>
    <t>https://n.yam.com/Article/20231217477550</t>
  </si>
  <si>
    <t>和嘉義市一樣，寫一句資料有開放，政績+++ | 還有這種新聞竟然可以在 7 個平台曝光</t>
  </si>
  <si>
    <t>數位治理局-112年資料開放金質獎第三名暨人氣獎第一名等榮譽</t>
  </si>
  <si>
    <t>https://focus.586.com.tw/2023/12/19/p293354/</t>
  </si>
  <si>
    <t>頒完獎一個月了，繼續吹嚧</t>
  </si>
  <si>
    <t>盧秀燕上任政策「陽光政治」，具體策略是市府重大會議全程直播、對外締約都需上網公開、打造市府機關「採購廉政平臺」、不斷優化的資料開放平台，落實公開透明的市府治理環境。
台中數位局優化資料開放平台，特別注重民意交流，平台增建「我想要更多」功能，提供民眾提建議開放更多資料的留言管道，廣納民意優化平台品質與數量，同時數位局也持續與開放資料社群交流，讓資料更貼近需求，發揮資料最大的價值。</t>
  </si>
  <si>
    <t>https://tw.news.yahoo.com/%E7%9B%A7%E7%A7%80%E7%87%95%E5%8A%9B%E6%8E%A8%E9%99%BD%E5%85%89%E6%94%BF%E6%B2%BB-%E4%B8%AD%E5%B8%82%E5%BA%9C%E8%B3%87%E6%96%99%E9%96%8B%E6%94%BE%E5%B9%B3%E5%8F%B0%E4%BE%BF%E6%B0%91%E6%9B%B4%E5%8D%87%E7%B4%9A-035712328.html</t>
  </si>
  <si>
    <t>重點：新增交流平台
然後不懂一直強調地理資料專區有什麼亮點</t>
  </si>
  <si>
    <t>鼓勵世新師生使用故宮Open Data資料庫進行創作，成功打造的影像、文創作品，可以透過IP授權、品牌聯名等合作互相提升，也落實博物館公共化政策，讓文物從展櫃走進每個人的日常生活。</t>
  </si>
  <si>
    <t>https://www.cna.com.tw/postwrite/chi/360111</t>
  </si>
  <si>
    <t>「智慧里長2.0」改採在社群軟體LINE 上提供相關服務，利用LINE 的即時性， 以「智慧里長」作為官方帳號，快速反映里民和里長們需求，讓溝通無距離。
一鍵即可通報鄰里公務，透過手機還可即時接收公文與通報案件，增加公部門溝通效率；市府也能藉由即時訊息傳遞市政資訊，讓里長能快速分享給里民。至於里民，除了能快速獲得各里最新資訊，也能輕鬆得知市府公告的活動訊息，還可隨時針對鄰里間的大小事，利用「呼叫里長」功能鍵即時反映交由里長處理，進行有效雙向溝通，實際解決民情需要。</t>
  </si>
  <si>
    <t>https://www.gvm.com.tw/article/108490</t>
  </si>
  <si>
    <t>1. 新北市府買的廣告
2. 訊息被內容農場抓去用</t>
  </si>
  <si>
    <t>智慧治理方面，最重要的是要讓民眾有感，他一上任就落實行政革新去除「淤泥效應」，透過運用My Data，減少不必要的行政流程，達成簡政便民的效果。在數位透明政府方面，Open Data已開放超過700項資料集，且108年、110至112年皆榮獲數位發展部「資料開放金質獎」第二組地方政府第一名佳績。</t>
  </si>
  <si>
    <t>https://www.cna.com.tw/postwrite/chi/360283</t>
  </si>
  <si>
    <t>11月的開放資料平台改版，在網路社群上廣徵民意，且為進一步與社群的直接交流，數位局邀請空氣盒子創辦人辦理開放資料工作坊，鼓勵機關人員跳脫傳統思考，從不同角度重新檢視開放資料。
局長提到，開放資料除發展特色還需加強與國際的交流，數位局去年達成「開放街圖社群(Open Street Map, OSM)」審核的標準，在OSM開源地圖上匯入120萬筆門牌圖資。今年更首度加入NASA黑客松城市賽，由10月的台中賽，到現在12月的全球賽，台中「TAITATUMU」隊伍已闖進全球前四強總決賽，創造新的資料應用里程碑。</t>
  </si>
  <si>
    <t>https://ctinews.com/news/items/q9WPNNlQxm</t>
  </si>
  <si>
    <t>空氣盒子 | OSM (Open Street Map)</t>
  </si>
  <si>
    <t>同一篇公稿，竟然是中天寫的最認真</t>
  </si>
  <si>
    <t>根據文化部資料開放服務網藝文活動比較數據統計，相較2020年疫情警戒期間，今（2023）年全台各場館演唱會場次數量成長約50.38％，停擺三年的演唱會和各項展演重啟，多種藝文活動復甦，卻也造成黃牛肆意哄抬價格的現象。</t>
  </si>
  <si>
    <t>http://shuj.shu.edu.tw/blog/2023/12/22/%E9%BB%83%E7%89%9B%E7%A5%A8%E7%8C%96%E7%8D%97-%E5%AE%98%E6%B0%91%E5%90%88%E4%BD%9C%E6%89%93%E6%93%8A%E4%B8%8D%E7%95%B6%E7%8D%B2%E5%88%A9/</t>
  </si>
  <si>
    <t>報導拿了開放資料來當數據</t>
  </si>
  <si>
    <t>吳欣盈表示，政府應該要做好資安保護，將硬體納入相關規範，也呼籲應立即推動台灣的數位轉型，並且建立便民數位的環境。上任後要推動一站式的數位服務，讓民眾只要一個網站就能辦所有事情、查所有資料。
數位部事實上已建置個人化資料自主運用機制(MyData)，串接中央部會機關及各地方政府，以「民眾自主同意、資料安全取得」為核心理念，只要線上身分驗證與自主知情同意，就可透過MyData取得存在各機關裡的個人化資料，加速各種政府服務申辦。
MyData平台截至112年11月底，已介接77個機關（包含22個地方政府），累計近82萬次資料下載及線上申辦，提供資料下載、臨櫃核驗及線上服務共計856項；相較111年12月底，介接機關數增加10%，服務使用量成長超過1.7倍。
政府資料開放應用方面，迄今已開放超過55,000筆資料集，資料集下載量超過2,000萬次，瀏覽量更超過1億次，資料集包含氣象資料、空氣品質、災害防救、農產品交易行情、電力供需等高應用價值資料，供各界活化利用，促進多元創新。</t>
  </si>
  <si>
    <t xml:space="preserve">https://www.rti.org.tw/news/view/id/2190595 
https://n.yam.com/Article/20231223787797 </t>
  </si>
  <si>
    <t>新竹縣22日舉辦「2023智慧城鄉論壇」
數位透明政府方面，Open Data已開放超過700項資料集。提出192項簡政便民措施，如今已完成137項，就是要讓人民感受到政府施政的美好與便利。</t>
  </si>
  <si>
    <t>https://tw.news.yahoo.com/%E7%AB%B9%E7%B8%A3-%E5%B0%B1%E8%81%B75%E5%91%A8%E5%B9%B4-%E6%A5%8A%E6%96%87%E7%A7%91%E8%88%87%E5%8F%B0%E5%A4%A7%E7%B0%BDmou-201000988.html</t>
  </si>
  <si>
    <t>看了還是不知道 700 項資料集是多還是少</t>
  </si>
  <si>
    <t>112年就獲頒智慧城市卓越貢獻獎—「智慧治理」獎項、未來企業大獎-智慧城市類別-最佳互連城市獎、今年11月也再度榮獲數位發展部「資料開放金質獎」地方政府第1名。</t>
  </si>
  <si>
    <t>https://www.cna.com.tw/postwrite/chi/360377</t>
  </si>
  <si>
    <t>高市長大力推動智慧治理，運用大數據、物聯網提供市民便利的市政服務，包含攜手8縣市推動智慧停車行動支付服務、推出幸福宜居網2.0、運用科技執法維護環境品質、建置智慧停車柱取代人工開單、提升Open Data應用的質與量，更新增「新竹市數位市民整合服務平台」7項服務。</t>
  </si>
  <si>
    <t>https://www.cna.com.tw/postwrite/chi/360443</t>
  </si>
  <si>
    <t>數位發展部唐鳯部長近日率領數位部團隊拜訪嘉義市政府，與黃敏惠市長討論地方鏈結合作事宜，雙方就建立政府資料傳輸平臺、資通安全管理法、人口老化及產業數位轉型等議題進行深度交流。唐部長表示，希望藉由強化中央與地方合作，攜手實現「全民數位韌性」的核心理念。
對於嘉義市政府所提出的資料介接需求，數位部表示，一般機關所需資料API(例如工商登記)皆已上架至「政府資料傳輸平臺（T-Road）」，數位部後續將持續積極輔導資安A級機關導入T-Road，同時協助各機關將更多資料API上架至T-Road，以強化政府跨機關資料傳輸之安全性與便利性，擴大政府資料運用效益。此外，各地方政府也可以多加利用數位部「個人化資料自主運用平臺（MyData）」，在民眾同意下取得中央政府機關資料。</t>
  </si>
  <si>
    <t>https://ocacnews.net/article/358188</t>
  </si>
  <si>
    <t>如有大量下載最新地價資料需求者，本局將同步公開於臺南市政府政府資料開放平台(https://data.tainan.gov.tw/)供民眾下載，歡迎多加利用。</t>
  </si>
  <si>
    <t>https://n.yam.com/Article/20231226668714</t>
  </si>
  <si>
    <t>提到有開放資料，就被抓進來了</t>
  </si>
  <si>
    <t>電信參加由臺北市政府資訊局舉辦之「2023臺北程式設計節-城市儀表板大黑客松」頒獎典禮暨成果發表記者會。中華電信企業客戶分公司特派五名菁英人才組成「數據調色盤」團隊參賽，從眾多卓越隊伍中脫穎而出，成功獲得佳作獎項，今(28)日於臺北市政府接受市長蔣萬安頒獎褒揚。
各隊伍可自選其中一項主題，應用臺北市資料大平臺(data.taipei)的開放資料集，於開源版的臺北城市儀表板中產出4個以上高品質的組件，具有相當高的挑戰性。</t>
  </si>
  <si>
    <t>https://www.cht.com.tw/zh-tw/home/cht/messages/2023/1228-1650?year=2023&amp;month=12&amp;category=86F3795F01B14D7FADFD148D9FC695EA&amp;list=%7B8DAECF69-AEF0-4F1B-B066-3306E547C0CC%7D</t>
  </si>
  <si>
    <t>用電效率（Power Usage Efficiency,；PUE）是全球衡量用電效率最重要指標，數值愈接近1，代表效率愈佳；國發會在2017年提出，希望政府資料中心PUE降至1.6目標。如今在產業技術司補助下，工研院已開發出千瓦級以上的資料中心先進散熱方案，並攜手美商英特爾成立高算力系統冷卻認證聯合實驗室，未來希望協助國內廠商進行認證測試，並與國際驗證標準接軌，搶攻國際供應鏈商機。</t>
  </si>
  <si>
    <t>https://n.yam.com/Article/20231228562149</t>
  </si>
  <si>
    <t>探討用電耗能問題</t>
  </si>
  <si>
    <t>「iSharing」可望為社福運作帶來巨大的效益與改善。首先，為讓社福組織能夠便捷管理各項物資的分類、項目與數量通過資訊整合和智慧管理，減少人力成本與時間花費；同時透過大數據彙整作為開放資料，不僅讓需要幫助的人能確實找尋到可提供協助的單位，使食物、資源能夠有效地流通循環，減少堆積與浪費，真正滿足有需求的民眾。</t>
  </si>
  <si>
    <t>https://n.yam.com/Article/20231229915851</t>
  </si>
  <si>
    <t>2024 Jan</t>
  </si>
  <si>
    <t>這次則利用一些開放式的網路平台為跳板，例如一些名為「租屋賣屋」的臉書粉專，或是PTT裡漫畫版，以及提供投稿的「鏡文學」，都被發現不斷置入這些抹黑我們國家元首的錯假影音，試圖突破同溫層的非政治類別。</t>
  </si>
  <si>
    <t>https://agora0.gitlab.io/blog/matters/2024/01/01/MATTERS-gijc2023-%E5%85%A8%E7%90%83%E8%AA%BF%E6%9F%A5%E8%A8%98%E8%80%85%E5%B9%B4%E6%9C%83.html</t>
  </si>
  <si>
    <t>探討美國公開資可以找到哪些資訊：</t>
  </si>
  <si>
    <t>1月2日開始有不明帳號在境外開放資料庫平台zenodo，以電子書方式，做負面操作。
原始內容放在一個在國內勾稽不到的境外網站或色情網站，這些新生成的帳號都得到相同訊息，數百個YT帳號幾乎同時在12小時內聯播相同內容。
利用一些開放式的網路平台為跳板，例如一些名為「租屋賣屋」的臉書粉專，或是PTT裡漫畫版，以及提供投稿的「鏡文學」，不斷置入抹黑國家元首的錯假影音，試圖突破同溫層的非政治類別。</t>
  </si>
  <si>
    <t>https://tw.news.yahoo.com/%E5%A4%A7%E9%87%8Fai%E5%81%BD%E9%80%A0%E5%BD%B1%E9%9F%B3%E6%8A%B9%E9%BB%91%E8%94%A1%E7%B8%BD%E7%B5%B1-%E5%9C%8B%E5%AE%89%E4%BA%BA%E5%A3%AB-%E4%B8%AD%E5%9C%8B%E7%B6%B2%E8%BB%8D%E6%BC%94%E7%B7%B4-050806432.html</t>
  </si>
  <si>
    <t>開放資料庫遭受錯假訊息污染，同時因為受污染而損失公信力。</t>
  </si>
  <si>
    <t>鼓勵產學界資訊人才發揮創意，並讓「台北捷運ＧＯ」ＡＰＰ發展更多便利功能，藉由舉辦賽程，鼓勵參賽者運用台北捷運開放資料，透過資料分析、重組等方式，發展出具創意與實用價值功能，提供捷運旅客更優質的ＡＰＰ。</t>
  </si>
  <si>
    <t>https://www.cdnnews.com.tw/articles/943017</t>
  </si>
  <si>
    <t>越來越多活動的設計都是以開放資料運用為前提來設計</t>
  </si>
  <si>
    <t>「ESG永續應用地圖查詢平台」內含「綠色生活」、「自然環境」及「氣候變遷」三大主題查詢專區，整合環境部、農業部、水利署、國家科學及技術委員會臺灣氣候變遷推估資訊與調適知識平台計畫(TCCIP)等政府機關開放資料，協助民眾及企業落實2050淨零轉型。</t>
  </si>
  <si>
    <t>https://tw.stock.yahoo.com/news/%E6%A5%AD%E7%95%8C%E9%A6%96%E5%89%B5-%E7%AC%AC-%E9%87%91%E6%8E%A8esg%E5%9C%B0%E5%9C%96%E5%B7%A5%E5%85%B7%E9%9F%BF%E6%87%89%E6%B7%A8%E9%9B%B6%E8%BD%89%E5%9E%8B-123722867.html</t>
  </si>
  <si>
    <t>應用方式停留在查詢階段</t>
  </si>
  <si>
    <t>綠色曲線涵蓋73%紐西蘭人口，檢測每人每天廢水中的新冠病毒基因組平均數量。來自紐西蘭ESR威靈頓實驗室，臭屎臭尿樣本（shit &amp; poops sample），提供每周廢水監測報告，最後公布於監測儀錶板，對公眾説明當地潛在的新冠風險。威靈頓實驗室執行的「廢水監測分析新冠病毒」足跡工作，就像是馬桶偵探事務所。
科學家或數位工程師若想進一步使用紐西蘭「馬桶偵探事務所」的推理資料，ESR附設「開放式廁所」就在開放式資料庫任君取用。</t>
  </si>
  <si>
    <t>https://vocus.cc/article/65aa3cdafd897800017fdf50</t>
  </si>
  <si>
    <t>原2023-05-26: 紐西蘭馬桶偵探事務所,科普寫作網路平台, 國立自然科學博物館文教基金會之文章，因此平台謝幕，重新發佈於此。
展示研究資料往放之後進一步使用所帶來的便利性。</t>
  </si>
  <si>
    <t>- 密碼模擬的是如同門鎖的「物理」關係，區塊鏈便是模擬人與人之間的互動關係，其中甚至包含「時間」——區塊鏈的紀錄包含了每次互動當下的時間戳記，讓紀錄無法被竄改而更有可信度。
- 「分散式身分識別符標準」運用區塊鏈技術加密且去中心化的特性，讓數位身分的發行者與驗證者不用依賴於一個集中式、掌握在特定組織或人之下的註冊表，便可以驗證一個人或一個物件的身分。只要使用者之間基於共通的標準，彼此互相承認對方所使用的方法（method）、描述資訊與解析過程，便可以將數位身分進行流通。
- 核心的兩項功能為認證（Authentication, AuthN）與授權（Authorization, AuthZ）。這個計畫不發行集中式的數位國民身分，而是藉由各界（事業、機關、團體及自然人）所發行的各式證件，來建構國人日常的事實身分（de facto identity），完成所須的基本數位身分服務，達到「個人身分自主，資料授權自決」目的。
- 皮夾，用於「證明你是誰」與「讓你授權他人」等目的。</t>
  </si>
  <si>
    <t>https://moda.gov.tw/press/multimedia/blog/10279</t>
  </si>
  <si>
    <t>作者 民主網絡司 多元宇宙科 黃彥霖
不由中央發行數位國民身份證，而是創造一個錢包，收集各界的認證。</t>
  </si>
  <si>
    <t>- 數位部民主網絡司司長莊盈志表示，Digital Wallet可視為數位皮夾，可以整合各政府機關發行的證件。今年先完成Wallet的操作雛形，若測試順利，初步構想是先與內政部合作，讓行動自然人憑證先和Wallet綁定，甚至更進一步，未來讓實體自然人憑證也能綁定，克服一部分仍無法使用實體自然人憑證的情形。
- 數位部規畫Digital Wallet將採用資訊最小揭露的原則，即業者存取Wallet的證件資料，並非可以任意取得Wallet上的證件所有資料，而是僅能取得業務所需的特定資料，且需先經過民眾的同意授權才能存取。
- 未來整套機制也會以Public Code，在臺灣公共程式平臺上公開讓外界審視。
- Digital Wallet並沒有強制使用，其定位是實體證件外的第二個方便管道，提供民眾簡便服務的選擇，不習慣或不熟悉3C的民眾還是能使用原有實體證件。</t>
  </si>
  <si>
    <t>https://www.ithome.com.tw/news/160933</t>
  </si>
  <si>
    <t>這篇沒有寫到「收納各機關核發的credential」這件事</t>
  </si>
  <si>
    <t>- 缺乏數據，台灣出版業長期以來普遍有「找不到讀者」的困擾
- 世界前幾大出版市場的美國、英國、德國、日本，都是由業者組成的出版協會或書商協會發布產業調查報告
- 台灣以財政部統計推測出版業產值恐失準
- 文策院僅能公布「前年」數據　業界批資訊過時、沒有用，且計算產值公式脫離現實
- 國圖的兩個系統簡陋難用
- 政府的文化預算重心偏移在影視業，而出版業應為 IP 搖籃，該多拿預算</t>
  </si>
  <si>
    <t>https://www.businesstoday.com.tw/article/category/183016/post/202401290039/</t>
  </si>
  <si>
    <t>- 政府已經在做的事情（ISBN 資料庫），應該善用審核時所具備的資料，以最小的附加努力，將開放資料盡可能完善
- 出版社要求的資料有關出版社利益，應該由出版社自已出錢進行調查，為何要人民出錢？</t>
  </si>
  <si>
    <t>馬來西亞正在研議有關「資訊近用權」的法條。
備忘錄中持別點出幾個過往法條(PDPA)不足之處，可作為立法的面向考量：
- 法律與國際標準保持一致的重要性
- OSA 的保密文化、廣泛的行政權力和缺乏問責制的問題
- 法律保護、揭露限制和撤銷保護的情況相關的問題</t>
  </si>
  <si>
    <t>https://www.article19.org/resources/malaysia-uphold-international-standards-in-tabling-right-to-information-bill/</t>
  </si>
  <si>
    <r>
      <rPr>
        <sz val="10.0"/>
      </rPr>
      <t xml:space="preserve">Liu Ian 請確認為什麼會有這條新聞進來？
</t>
    </r>
    <r>
      <rPr>
        <color rgb="FF1155CC"/>
        <sz val="10.0"/>
        <u/>
      </rPr>
      <t>https://groups.google.com/a/ocf.tw/g/opentechnews/c/1nVXILXfers/m/30ZytkDiAAAJ</t>
    </r>
  </si>
  <si>
    <t>系列論壇之一。slide 分享專案 aliens4friends 如何運用工具來建制 license 管理。
- 借用 open source 的軟體來管理 open source，不用重覆造輪子
- 自動化篩選的正確率不足，仍需人工處理，但人工耗時。
- 自動化及人工兩者需互相搭配，單採一種方式將遭遇瓶頸。</t>
  </si>
  <si>
    <t>https://www.openchainproject.org/webinar/2024/01/31/openchain-webinar-58</t>
  </si>
  <si>
    <t>https://www.slideshare.net/slideshows/openchain-webinar-58-foss-license-management-through-aliens4friends-in-eclipse-oniro/266006035</t>
  </si>
  <si>
    <t>open source 進來的文章，仍然不確定哪些類型的內容適合收錄進來。目前採取較寬鬆的收錄篩選：只要 Amos 覺得有學到知識便收錄。預計算樣本數多一點之後，再來調整篩選強度。</t>
  </si>
  <si>
    <t>2024 Feb</t>
  </si>
  <si>
    <t>適合花點時間分析，作為內部分享資料（亦有潛力化為對外談資）。
初步覺得可以做的分析：
- 整理安洵掌握的資料中，有關的台灣相關資料
- 整理安洵流出的產品文件
    - 有許多攻擊手段介紹，且寫的淺顯易懂。覺得是很適合麻瓜閱讀的鬼故事書
    - 還有硬體工具的介紹（像偽裝成行動電源的wifi 抵近攻擊系統）</t>
  </si>
  <si>
    <t>https://www.facebook.com/story.php?story_fbid=412724947954378&amp;id=100076506270303&amp;mibextid=oFDknk</t>
  </si>
  <si>
    <t>https://github.com/I-S00N/I-S00N/</t>
  </si>
  <si>
    <t>立委黃捷、洪申翰、吳沛憶、沈伯洋將共同推動「開放國會」。
沈伯洋提及國會「國民化」及「教學化」兩方向。
繼續跟「開放政府夥伴關係聯盟」合作，用國際標準檢驗是否能達成目標。</t>
  </si>
  <si>
    <t>https://n.yam.com/Article/20240201697240</t>
  </si>
  <si>
    <t>OGP、開放國會、開放政府夥伴關係聯盟</t>
  </si>
  <si>
    <t>數位部 2/2 舉辦「數據賦能 公益創新」成果發表暨交流論壇。
數位部輔導 8 團隊數據創新服務，含生態保育、癌友服務、障者支持、青少年安全網、性別平權等領域。
台灣癌症基金會優化衛教個案的數據管理系統，提供癌友更精準的衛教諮詢服務。
台灣湛藍海洋聯盟運用氣象開放資料，嘗試建立海洋廢棄物的好發時間與熱點預測模型。</t>
  </si>
  <si>
    <t>https://ec.ltn.com.tw/article/breakingnews/4570681</t>
  </si>
  <si>
    <t>數據公益、數位部、論壇</t>
  </si>
  <si>
    <t xml:space="preserve">FOSSASIA Summit 2024 will take place from Monday 8th April to Wednesday 10 April in Hanoi, Vietnam. </t>
  </si>
  <si>
    <t>https://discourse.ubuntu.com/t/ubuntu-fossasia-summit-2024/42180</t>
  </si>
  <si>
    <t>台灣湛藍海洋聯盟與澄洋環境顧問有限公司合作，接受數位部「數據賦能 公益創新」計畫深度輔導。
港口架設縮時攝影機，並運用中央氣象署的開放資料與過去考察資料等進行分析，希望找到因果關聯，了解哪些因素可能讓岸邊堆積海洋垃圾。
湛藍海洋聯盟網站所揭露的紅、黃、綠色3種海廢燈號，紅燈表示海洋垃圾已經漂入港口，黃燈表示垃圾進出飄忽、可能1到2天會有較多垃圾湧入，綠燈表示沒有從外海進來的海洋垃圾，藉由燈號未來就可提供給相關單位參考調度人力。</t>
  </si>
  <si>
    <t>https://news.cts.com.tw/cna/money/202402/202402142286543.html</t>
  </si>
  <si>
    <t>https://azurealliance.org/</t>
  </si>
  <si>
    <t>數位部推廣開放資料的成果。
這算不算是有利用了資料，並產生了可再利用的資料（紅黃綠燈）呢？</t>
  </si>
  <si>
    <t>Meeting info:
UbuCon North America 2024
Saturday, July 27, 2024, 8:00 AM - Sunday, July 28, 2024, 6:00 PM (UTC-06:00)
Green Bay
Created by: UbuCon North America Committee</t>
  </si>
  <si>
    <t>https://opencollective.com/ubucon-na/events/ubucon-north-america-2024-8919b284</t>
  </si>
  <si>
    <t>先試丟國際會議兩張卡</t>
  </si>
  <si>
    <t>歐盟&lt;數位服務法&gt;的新規則及義務於 2024/02/17 實施。
新增多個大型跨國公司、app和成人網站進行監管，旨在創建一個安全、可預測、但最重要的是可靠和透明的線上環境，使用戶更容易刪除非法和有害內容。</t>
  </si>
  <si>
    <t>https://quifinanza.it/innovazione/digital-service-act-applicazione/793859/</t>
  </si>
  <si>
    <t>https://digital-strategy.ec.europa.eu/en/policies/digital-services-act-package</t>
  </si>
  <si>
    <t>數位中介法</t>
  </si>
  <si>
    <t>管的跟台灣數位中介法的對象類似，但是規範方向好似不同。需要更多時間研究</t>
  </si>
  <si>
    <t>國發會宣傳新一階段開放政府國家行動方案意見徵詢網頁</t>
  </si>
  <si>
    <t>https://www.ndc.gov.tw/Content_List.aspx?n=0C5AB1D0FA5B64B8</t>
  </si>
  <si>
    <t>不知道是新 po 的還是改版，又被抓進來一次</t>
  </si>
  <si>
    <t>軟體工程師 Ian Webster 創建了一個網站，讓您了解地球上的陸地在 7.5 億年的時間裡發生了怎樣的變化。它還具有額外的好處，可以讓您在這些古老的地層上繪製現代地址。因此，您可以看到大約 20、100、500 或 7.5 億年前您的家位於 Big Blue Marble 上的位置。</t>
  </si>
  <si>
    <t>https://www.openculture.com/2024/02/a-web-site-that-lets-you-find-your-home-address-on-pangaea.html</t>
  </si>
  <si>
    <t>https://dinosaurpictures.org/ancient-earth#750</t>
  </si>
  <si>
    <t>結果找不到台灣</t>
  </si>
  <si>
    <t>活動 - COSCUP call for paper</t>
  </si>
  <si>
    <t>https://blog.coscup.org/2024/02/coscup-2024-early-bird-call-for.html</t>
  </si>
  <si>
    <t>COSCUP</t>
  </si>
  <si>
    <t>02/20 討論：開源AI供應鏈該如何維持其可性度</t>
  </si>
  <si>
    <t>https://www.openchainproject.org/news/2024/02/21/openchain-ai-study-group-2024-02-20-recording</t>
  </si>
  <si>
    <t>https://www.slideshare.net/slideshows/openchain-ai-study-group-north-america-and-europe-20240220/266417200</t>
  </si>
  <si>
    <t>臺南市政府21日舉辦政風人員專業能力提升訓練，邀請國立政治大學公共行政系副教授廖興中分享「行政透明與透明晶質獎新思維」及法務部廉政署南部地區調查組廉政專員黃靖琪講授查處案件辦理應注意事項。
「開放政府」已成為政府的施政目標，行政透明更是開放政府的施政核心。</t>
  </si>
  <si>
    <t>https://n.yam.com/Article/20240222815602</t>
  </si>
  <si>
    <t>1. 透明晶質獎 又是哪招？
2. 你的開放政府不是我的開放政府</t>
  </si>
  <si>
    <t>加密貨幣法調查
SPDX export control work</t>
  </si>
  <si>
    <t>https://www.openchainproject.org/news/2024/02/09/openchain-export-control-work-group-meeting-2024-02-08-full-recording</t>
  </si>
  <si>
    <t>討論有關 ISO/IEC 5230 調整事宜，團隊有 2 個部份想提交給委員會</t>
  </si>
  <si>
    <t>https://www.openchainproject.org/featured/2024/02/21/openchain-monthly-north-america-asia-2024-02-20-full-recording</t>
  </si>
  <si>
    <t>Philippe Ombredanne from nexB 對 FOSDEM review</t>
  </si>
  <si>
    <t>https://www.openchainproject.org/news/2024/02/22/coming-soon-openchain-webinar-74</t>
  </si>
  <si>
    <t>KubeCon EU in Paris France, March 19 - 22.
Oracle 是贊助商</t>
  </si>
  <si>
    <t>https://blogs.oracle.com/developers/post/celebrating-ai-open-source-and-mlops-with-you-at-kubecon-eu-march-1922</t>
  </si>
  <si>
    <t>一卡通與時俱進推出「綠點」機制，落實了 ESG 社會企業責任，期待一卡通不只是票證公司，未來更是數據賦能公司，善用累積的數據資料庫和經驗，建立綠色交通減碳標準與認證基準，大家關心的 Open Data，如何落實資料保護，高市府將提供最高的支持。</t>
  </si>
  <si>
    <t>https://news.owlting.com/articles/618030</t>
  </si>
  <si>
    <t>https://i-pass.co/5kt54m</t>
  </si>
  <si>
    <t>說是善用數據，結果要下載ESG白皮書還要輸入個人資料。的確是很善用數據。</t>
  </si>
  <si>
    <t xml:space="preserve">
Caren Kresse from OSAD 談論了共享和重複使用 OSSelot 專案 (https://www.osselot.org/) 提供的公開可用的 FOSS 合規資料，這需要對資料可靠性的信任。透過標準化管理流程和對所有貢獻的嚴格審查，確保資料的高品質和一致性，可以培養這種信任。本簡報將展示 OSSelot 專案的規劃過程，展示產生的資料，並舉例說明如何審核貢獻。</t>
  </si>
  <si>
    <t>https://www.openchainproject.org/webinar/2024/02/14/webinar-59</t>
  </si>
  <si>
    <t>論文，談論 歐盟資料保護性質的變化</t>
  </si>
  <si>
    <t>https://academic.oup.com/grurint/advance-article-abstract/doi/10.1093/grurint/ikae019/7614029</t>
  </si>
  <si>
    <t>Jasper Orschulko 提出了 meta-osselot 專案 (https://github.com/iris-GmbH/meta-osselot) 的概念，以及如何在 OpenEmbedded 環境中利用 OSSelot 中的精選數據。</t>
  </si>
  <si>
    <t>https://www.openchainproject.org/news/2024/02/26/webinar-71</t>
  </si>
  <si>
    <t>釋放正義：歐洲法院如何擁抱開放資料以實現透明度
公開司法數據的重要性是雙重的：它不僅允許公民審查法院裁決和司法活動，從而增強對法律程序的信任
開放司法資料的過程充滿挑戰，其中最主要的是隱私問題。
歐洲在司法系統中利用開放資料的舉措體現了在提高司法透明度方面的重大飛躍。透過認真應對挑戰並專注於增強公眾權能，歐洲為世界其他地區樹立了利用資訊力量造福社會的先例。</t>
  </si>
  <si>
    <t>https://bnnbreaking.com/world/europe/unlocking-justice-how-europes-courts-are-embracing-open-data-for-transparency</t>
  </si>
  <si>
    <t>FliSoL Barranquilla 2024
4/27 @Colombia
主題： women in tech</t>
  </si>
  <si>
    <t>https://discourse.ubuntu.com/t/flisol-barraqnuilla-2024-women-in-tech/42772</t>
  </si>
  <si>
    <t>黑莓機再次驗證通過 ISO/IEC 5230:2020 和 ISO/IEC 18974:2023</t>
  </si>
  <si>
    <t>https://www.openchainproject.org/news/2024/02/28/blackberry-recertification</t>
  </si>
  <si>
    <t>Circle 是一家全球領先的金融科技公司，也是全球最大的受監管美元支援穩定幣 USDC 的發行人，該公司宣布了 OpenChain ISO/IEC 5230 合規計畫。</t>
  </si>
  <si>
    <t>https://www.openchainproject.org/news/2024/02/29/circle-iso5230-conformant</t>
  </si>
  <si>
    <t>2024 Mar</t>
  </si>
  <si>
    <t>我們將使用名為 openEuler 的作業系統生態系作為案例研究的基礎。 openEuler是中國新興的作業系統生態系，擁有34%的嵌入式和行動作業系統市場份額、16,000名開發者和500多個專案。它起源於華為，但現在他們製作了約 40% 的代碼，並且圍繞著它存在一個健康的生態系統。從我們的角度來看，最有趣的是，OpenChain ISO 5230 和 OpenChain ISO 18974 是 openEuler 中業務流程管理的核心。</t>
  </si>
  <si>
    <t>https://www.openchainproject.org/featured/2024/03/05/openchain-deep-dive-openeuler-ecosystem</t>
  </si>
  <si>
    <t xml:space="preserve">Openchain, </t>
  </si>
  <si>
    <t>2024/03/15 已分享至 #opentech</t>
  </si>
  <si>
    <t>COSCUP 3/15~17 登陸北美最盛大開源展覽 - SCaLE21x 參展。</t>
  </si>
  <si>
    <t>https://blog.coscup.org/2024/03/coscup-at-scale21x.html</t>
  </si>
  <si>
    <t>談論金融圈運用開放資料，產生新名詞"Open Banking"、"Open Finance"
談論各國法案：歐盟 Data Act、美國 Data privacy law、全球在資料隱私的趨勢</t>
  </si>
  <si>
    <t>https://thepaypers.com/expert-opinion/open-data-regulatory-trends-to-watch-for-in-2024--1267180</t>
  </si>
  <si>
    <t>適合作為資料保護法案的參考資料
不確定是否適合送翻譯？</t>
  </si>
  <si>
    <t>馬斯克11 日表示其AI 模型「Grok」將於本周開放原始碼。
雖然開放原始碼有助於加速創新，但一些專家警告，開源人工智慧模型可能被恐怖分子用來製造化學武器，甚至開發出一種人類無法控制的有意識的「超智慧」(Super-intelligence)。</t>
  </si>
  <si>
    <t>https://news.cnyes.com/news/id/5484398</t>
  </si>
  <si>
    <t>開放原始碼、AI</t>
  </si>
  <si>
    <t>Consensus由全球最權威的加密貨幣資訊平台CoinDesk於2015年創辦，被視為「幣圈」一年一度最大盛事。
明年定於2025年2月19日至21日在香港灣仔會展中心召開。</t>
  </si>
  <si>
    <t>https://www1.hkej.com/dailynews/finnews/article/3703913/8000%E5%B9%A3%E5%8F%8B%E8%81%9A%E9%A6%99%E6%B1%9F</t>
  </si>
  <si>
    <t>區塊鍵</t>
  </si>
  <si>
    <t>說香港不會監管 block chain 我也是笑笑</t>
  </si>
  <si>
    <t>數位發展部AI評測中心去年底掛牌後，預計今年3月底前公布評測指引，引導AI相關的廠商送測大語言模型（LLM），確保AI安全性，但並不會強制送測；未來也會對國科會主導的台版生成式AI「TAIDE」測試。
評測項目有10個：安全性、可解釋性、彈性、公平性、準確性、透明性、當責性、可靠性、隱私、資安。</t>
  </si>
  <si>
    <t>https://ec.ltn.com.tw/article/breakingnews/4594263</t>
  </si>
  <si>
    <t>AI、治理、LLM</t>
  </si>
  <si>
    <t>過去 15 年的工作歷程中，二組織已累積許多海灘、海港的數據，但是多維度的混亂資料難以運用，團隊需要將原先設定的六個參數，逐步精簡至四個參數，持續學習如何聚焦，並與教練團不斷協作。
感謝教練在串接 API 上大力協助，結合中央氣象局 Open Data 以及團隊歷年收集的數據，彙整及轉譯之下，團隊終於打造出視覺化的動態儀表板雛形。
期待這次合作打造的海廢儀表板雛型，未來可以成為台灣第一個可互動、且能即時反饋的海洋廢棄物地圖</t>
  </si>
  <si>
    <t>https://npost.tw/archives/69549</t>
  </si>
  <si>
    <t>API</t>
  </si>
  <si>
    <t>「數據賦能 公益創新」輔導計畫的延伸報導，感覺以後會有很多NGO想做資料&amp;視覺化？</t>
  </si>
  <si>
    <t>KOSYAS 成為南韓首個第三方認證機構</t>
  </si>
  <si>
    <t>https://www.openchainproject.org/news/2024/03/13/kosyas-is-the-first-official-third-party-certifier-in-south-korea</t>
  </si>
  <si>
    <t>Openchain</t>
  </si>
  <si>
    <t>GitHub Copilot 介紹</t>
  </si>
  <si>
    <t>https://www.openchainproject.org/webinar/2024/03/14/webinar-understanding-github-copilot</t>
  </si>
  <si>
    <t>記憶體安全漏洞是嚴重且長期存在的問題，因為記憶體存取、寫入、分配或是非預期釋放所產生的漏洞，影響了整個數位生態系的安全性。
根據CISA（Cybersecurity and Infrastructure Security Agency）開源軟體安全路線圖的建議，選用記憶體安全程式語言是一種安全設計的方式。
以記憶體不安全語言所開發的程式碼，即便經過嚴格的程式碼審查和其他偵測控制，有分配CVE編號的安全漏洞中高達70％是由記憶體安全問題所致，而證據也顯示，將大型程式碼庫轉移到記憶體安全語言，可幾乎消除安全漏洞。
OpenSSF提倡採用Rust記憶體安全程式語言，以解決C和C++等傳統程式語言在記憶體管理上的脆弱性，OpenSSF也開發了C和C++編譯器選項強化指南，指導無法簡單搬遷使用記憶體安全語言的開發人員。</t>
  </si>
  <si>
    <t>https://www.ithome.com.tw/news/161573</t>
  </si>
  <si>
    <t>手動
PMPC遠期目標，或可推動投標者使用記憶體安全程式語言</t>
  </si>
  <si>
    <t>2009年，臺灣推動電子病歷，數十年前的紙本病歷時代也有結構化的概念。
但是，過去的病歷結構化，不見得能夠遇見到未來的醫療訊息應用需求，也就無法提前考慮到未來的各種醫療欄位需求。每當有新的醫療應用需求，醫院就需要再重新梳理一次手上的龐大醫療資料，展開新一波的病歷資料結構化，這是醫院IT得持續不斷面對的課題。
建立醫囑結構化表單之後，就可串接提醒過敏藥品，輸血過敏內容的檢核、抗凝血藥劑藥物檢核提醒、孕婦禁忌用藥提醒、重複用藥與藥物交互作用等檢核提醒。亦可方便後續的醫學研究。</t>
  </si>
  <si>
    <t>https://www.ithome.com.tw/voice/161761</t>
  </si>
  <si>
    <t>醫療資料、資料結構化</t>
  </si>
  <si>
    <t>使用 ChatGPT，詢問「施崇棠（華碩董事長）對台灣的貢獻是什麼」，ChatGPT 的回應卻是「偉大將軍」。
台灣必須有自己的語料庫，去訓練自己的引擎，TAIDE 目的正在於此，而 TAIDE 參數量 70 億（7B）可商用版本，將於 4 月中旬開放為開源模型，供外界自由運用。</t>
  </si>
  <si>
    <t>https://www.inside.com.tw/article/34544-tung-tzu-hsien-taide-is-important</t>
  </si>
  <si>
    <t>LLM、TAIDE</t>
  </si>
  <si>
    <t>數位市場法（Digital market act）定出6家為第一批「守門人」企業，自3月7日起必須遵循該法規定。
針對四種行為立案調查。
必須容許應用程式開發者能將平台用戶導向外部程式商店
搜尋呈現結果涉嫌偏好自家旗下產品，對同業造成不公平競爭。應對第三方業者提供的服務採取與自家產品公平呈現的非歧視做法。
懷疑蘋果涉嫌妨害用戶選擇權，iOS是否能讓終端用戶輕鬆卸載任何應用軟體、改變預設值，並容易選擇別家替代產品
Facebook近期推出的「付費或同意」（pay or consent）服務，用戶若不付費，就代表自動同意被Facebook推播廣告。歐盟要求守門人企業蒐集、跨平台使用消費者個人資訊時，必須事先獲得同意。</t>
  </si>
  <si>
    <t>https://technews.tw/2024/03/26/facebook-dma/</t>
  </si>
  <si>
    <t>手動</t>
  </si>
  <si>
    <t>esbuild 和 Redis 是具有出色文件的程式碼庫的兩個範例。
透過自述文件（ReadMe）、變更日誌（changelog）、架構文件（architecture documents）和程式碼註釋（code comments），這兩個專案都以這樣的方式解釋了他們的設計，使得程式碼庫的新手可以理解事情在哪裡、事情是如何完成的以及為什麼要這樣做。
優點：節省時間、開源專案更有可能收到外部貢獻、避免重覆錯誤</t>
  </si>
  <si>
    <t>https://johnjago.com/great-docs/</t>
  </si>
  <si>
    <t>Opera 報告稱，在 Apple 推出符合歐盟 數位市場法案 (DMA) 的新功能後，iOS 設備上的歐盟新用戶大幅增加了 164%。
Google也於 3 月 6 日向 Android 用戶推出了 類似的瀏覽器選擇螢幕 ，該螢幕將在 Android 智慧型手機或平板電腦的初始設定過程中顯示。
“我們認為這表明了兩件事：一是監管對於提供更加公平的競爭環境的重要性，二是用戶渴望能夠提供卓越在線體驗的新產品和創新產品。”</t>
  </si>
  <si>
    <t>https://www.bleepingcomputer.com/news/technology/opera-sees-big-jump-in-eu-users-on-ios-android-after-dma-update/</t>
  </si>
  <si>
    <t>手動
如果提供使用者更多選項，或許開源軟體受到青睞的機率也會變高？</t>
  </si>
  <si>
    <t>GM 提供資料經記人（data broker）獲得行程資料的權限，並轉手提供給保險公司。導致某些駕駛發現更難申領保險。</t>
  </si>
  <si>
    <t>https://arstechnica.com/cars/2024/03/gm-stops-sharing-driver-data-with-brokers-amid-backlash/</t>
  </si>
  <si>
    <t>需要更節能的程式，降低排碳量，尤以雲端服務更為重要</t>
  </si>
  <si>
    <t>https://www.inoreader.com/article/3a9c6e74cea3d2eb-what-is-green-software-and-why-do-we-need-it</t>
  </si>
  <si>
    <t>2024 Apr</t>
  </si>
  <si>
    <t>OD</t>
  </si>
  <si>
    <t>技術</t>
  </si>
  <si>
    <t>iThome</t>
  </si>
  <si>
    <t>Meta釋出最新的開源大型語言模型Meta Llama 3</t>
  </si>
  <si>
    <t>Meta周四（4/18）釋出新一代的開源大型語言模型Meta Llama 3，目前具備Llama 3 8B及Llama 3 70B兩種版本。</t>
  </si>
  <si>
    <t>https://www.ithome.com.tw/news/162408</t>
  </si>
  <si>
    <t>國科會釋出繁中語言模型TAIDE-LX-7B了！</t>
  </si>
  <si>
    <t>可信任生成式AI發展先期計畫（Trustworthy AI Dialogue Engine，簡稱TAIDE）
國科會主委吳政忠今日（4/15）宣布釋出TAIDE-LX-7B，是一款結合臺灣文化的70億參數大型語言模型，可供產學研快速導入生成式AI、提供更多元服務。
已有不少應用案例出現：高雄大學團隊開發一套開源生成式AI應用平臺Kuwa GenAI OS、臺南大學的TAIDE臺語對話機器人、中興大學神農TAIDE、中研院行政常見問題回應、民間公司智慧客服等。</t>
  </si>
  <si>
    <t>https://www.ithome.com.tw/news/162312</t>
  </si>
  <si>
    <t>Databricks開源通用大型語言模型DBRX</t>
  </si>
  <si>
    <t>資料暨AI業者Databricks周三（3/27）開源了通用大型語言模型（LLM）DBRX，宣稱DBRX在各式標準的基準測試上超越了坊間所有的開源模型，也在大多數的基準測試上擊敗GPT 3.5。
一般人並不容易使用DBRX，因為要執行DBRX至少必須配備4個Nvidia H100 GPU或其它GPU，且光一個H100的成本就高達數萬美元，對許多開發者或個人企業家而言是遙不可及的。</t>
  </si>
  <si>
    <t>https://www.ithome.com.tw/news/162017</t>
  </si>
  <si>
    <t>OS</t>
  </si>
  <si>
    <t>應用</t>
  </si>
  <si>
    <t>inside網路趨勢觀察</t>
  </si>
  <si>
    <t>JPEG 迎接大進化？Google 開源新函式庫「Jpegli」壓得更好、畫質更高</t>
  </si>
  <si>
    <t>Google在近期提出技術讓JPEG格式圖像能以更高壓縮率儲存，藉此精簡傳輸使用網路頻寬，並且能維持更高影像畫質。
Google已經透過GitHub開源公布jpegli編碼函式庫，讓所有使用者都能直接取用。</t>
  </si>
  <si>
    <t>數位時代</t>
  </si>
  <si>
    <t>出門玩拍張照，也可以救海洋！這家新創推「AI海洋資料庫」，讓台灣大哥大也青睞</t>
  </si>
  <si>
    <t>「BlueTrend藍色脈動」自2021年開始，建立海洋生物資料庫，長期專注生物多樣性、海洋生態保育等議題，但資料及人力有限，難度很高。
目前累積超過1萬1千張照片。透過AI的判斷，10秒內就能辨識超過80種生物
今年目標希望可以號召至少1萬2,000人成為「海洋公民科學家」，累積2萬張以上海洋生物資料照片，AI辨識超過150種海洋生物</t>
  </si>
  <si>
    <t>https://www.bnext.com.tw/article/78876/taiwan-mobile-bluetrend-ai-ocean</t>
  </si>
  <si>
    <t>https://bluetrend.media/mcs/</t>
  </si>
  <si>
    <t>治理</t>
  </si>
  <si>
    <t>紐時披露OpenAI與Google都利用YouTube內容來訓練AI模型</t>
  </si>
  <si>
    <t>《紐約時報》（The New York Times）上周引述消息來源報導，OpenAI與Google都利用YouTube的影片內容來訓練AI模型，儘管此舉可能違反YouTube服務條款，但在業者急需大規模內容來訓練AI模型之際，皆選擇遊走於灰色地帶。
有些Google員工即使知道OpenAI使用YouTube內容來訓練它們的AI，卻未加以阻止，因為Google自己也這樣做。</t>
  </si>
  <si>
    <t>https://www.ithome.com.tw/news/162141</t>
  </si>
  <si>
    <t>Gardian</t>
  </si>
  <si>
    <t>Institute bans use of Playboy test image in engineering journals</t>
  </si>
  <si>
    <t>IEEE 將不再接受使用 Lena 照片於論文資料的提交
Lena 照片有高對比色及形狀，自 1973 年被拿來作為影象判別的素材</t>
  </si>
  <si>
    <t>https://www.theguardian.com/technology/2024/mar/31/tech-publisher-bans-playboy-centrefold-test-image-from-its-journals
https://www.techbang.com/posts/114611-the-1972-playboy-picture-was-banned-from-being-published-in</t>
  </si>
  <si>
    <t>趨勢</t>
  </si>
  <si>
    <t>The stack</t>
  </si>
  <si>
    <t>Open Source pioneer Perens says it's time to contemplate a Post-Open world</t>
  </si>
  <si>
    <t>開源生態系統的一位架構師表示，現在是重新構想「後開放」世界的時候了，因為目前的世界並不適合開發人員或使用者。
開源已經佔領了商業軟體世界，至少對於一組特定的應用程式來說是如此。但在許多領域，尤其是在商業世界之外，它並沒有那麼成功。
開源開發人員通常不會得到報酬，除非他們為這些公司工作。
目前的開源許可系統也不起作用，三分之一的 Linux 系統是在「規避 GPL 的情況下出售的，禁止重新分發原始碼」。這是價值數十億美元的業務。同時，想要遵守開源規則的公司在合規性方面花費了數百萬美元。</t>
  </si>
  <si>
    <t>https://www.thestack.technology/open-source-pioneer-perens-says-time-for-post-open/</t>
  </si>
  <si>
    <t>RetroPGF 或許是一個好的解方？</t>
  </si>
  <si>
    <t>The crunch</t>
  </si>
  <si>
    <t>Open source Substack rival Ghost may join the fediverse</t>
  </si>
  <si>
    <t>Ghost 是 Substack 時事通訊平台的開源替代品，正在考慮加入 fediverse，這是一個互連伺服器的社交網絡，其中包括 Mastodon、Pixelfed、PeerTube、Flipboard 以及最近的 Instagram Threads 等應用程式。</t>
  </si>
  <si>
    <t>https://techcrunch.com/2024/04/15/open-source-substack-rival-ghost-may-join-the-fediverse/?guccounter=1</t>
  </si>
  <si>
    <t>fediverse 系列</t>
  </si>
  <si>
    <t>Flipboard deepens its ties to the open source social web (aka the fediverse)</t>
  </si>
  <si>
    <t>Fipboard 是一款Web 2.0 時代的社交雜誌應用程序，它正在重塑自身，以利用新一輪開放社交網絡的推動力，正在加深與fediverse 的聯繫，fediverse 是一個互連服務器的社交網絡，其中包括Mastodon、Pixelfed、PeerTube 和，及時，Instagram 主題等等。</t>
  </si>
  <si>
    <t>https://techcrunch.com/2024/04/11/flipboard-deepens-its-ties-to-the-open-source-social-web-aka-the-fediverse/</t>
  </si>
  <si>
    <t>Open source foundations unite on common standards for EU’s Cyber Resilience Act</t>
  </si>
  <si>
    <t>七個開源基金會正在聯合起來，為歐洲議會上個月通過的《歐洲網路彈性法案》（CRA）制定通用規範和標準。
Apache 軟體基金會、Blender 基金會、Eclipse 基金會、OpenSSL 軟體基金會、PHP 基金會、Python 軟體基金會和Rust 基金會透露，他們打算匯集集體資源，將開源軟體開發中現有的安全最佳實踐聯繫起來，並確保當新立法在三年內生效時，飽受詬病的軟體供應鏈將能夠勝任這項任務。</t>
  </si>
  <si>
    <t>https://techcrunch.com/2024/04/02/open-source-foundations-unite-on-common-standards-for-eus-cybersecurity-resilience-act/</t>
  </si>
  <si>
    <t>對 CRA 的反應</t>
  </si>
  <si>
    <t>Google open sources tools to support AI model development</t>
  </si>
  <si>
    <t>今年，無論是為了培養開發者的商譽還是推進其生態系統的雄心壯志（或兩者兼而有之），Google推出了一系列開源工具，主要旨在支援生成式人工智慧專案和基礎設施。</t>
  </si>
  <si>
    <t>https://techcrunch.com/2024/04/09/google-open-sources-tools-to-support-ai-model-development/</t>
  </si>
  <si>
    <t>是否在用開源來搶市場？
有 License 嗎？
有沒有可以未來會回歸閉源？</t>
  </si>
  <si>
    <t>微信</t>
  </si>
  <si>
    <t>李彦宏说开源模型会越来越落后，为什么很多人不认同？</t>
  </si>
  <si>
    <t>百度董事长兼CEO李彦宏说开源模型会越来越落后。本文作者從以下角度探討：
1.差距没有拉大，而是在缩小
2.开源模型的“真假开源”
3.模型开源的意义是什么？
4.闭源to C，开源to B</t>
  </si>
  <si>
    <t>https://mp.weixin.qq.com/s/86XnP3h6Md92tWD-knUUqg</t>
  </si>
  <si>
    <t>Pofeng 提供</t>
  </si>
  <si>
    <t>報導者</t>
  </si>
  <si>
    <t>邱文聰、吳全峰／《衛生福利資料管理條例》能讓被宣告部分違憲的健保資料庫使用就地合法嗎？</t>
  </si>
  <si>
    <t>憲法法庭在2022年8月12日針對「健保資料庫釋憲案」作成111年憲判字13號判決後，衛福部 20240301推出的《衛生福利資料管理條例》草案，用以回應憲法法庭對法律保留原則及個人資訊隱私權保障的要求。本文作者認為，此草案凸顯衛福部只圖急就章地為現有「健保資料庫」提供就地合法基礎，卻未真心誠意地在憲法法庭判決指引下，尋求平衡個人資訊自主保障與資料再利用需要的解決策略。健保資料的再利用爭議延燒了十餘年，不健全的法制基礎建設多少阻礙了資料再利用的有效發展。</t>
  </si>
  <si>
    <t>https://www.twreporter.org/a/opinion-act-on-health-and-welfare-data</t>
  </si>
  <si>
    <r>
      <rPr>
        <color rgb="FF1155CC"/>
        <sz val="10.0"/>
        <u/>
      </rPr>
      <t>「健保資料庫釋憲案」作成111年憲判字13號判決</t>
    </r>
    <r>
      <rPr>
        <sz val="10.0"/>
      </rPr>
      <t>；</t>
    </r>
    <r>
      <rPr>
        <color rgb="FF1155CC"/>
        <sz val="10.0"/>
        <u/>
      </rPr>
      <t>《衛生福利資料管理條例》草案立法預告</t>
    </r>
  </si>
  <si>
    <t>活動</t>
  </si>
  <si>
    <t>ubuntu</t>
  </si>
  <si>
    <t>Attention to all free software lovers and Ubuntu community in Latin America and beyond!</t>
  </si>
  <si>
    <t>Ubucon Latin America 2024 is back and this time we will meet in the vibrant city of Barranquilla, Colombia, on August 16th and 17th.</t>
  </si>
  <si>
    <t>https://discourse.ubuntu.com/t/ubucon-latin-america-2024-call-for-papers/44218</t>
  </si>
  <si>
    <t>OG</t>
  </si>
  <si>
    <t>RTI；Yahoo新聞；TVBS新聞網；新頭殼；放言</t>
  </si>
  <si>
    <t>彭啟明：5/20前辭民間與教職 保證環境部將尊重專業</t>
  </si>
  <si>
    <t>彭啟明彭啟明不僅是氣候專家，更是台灣開放政府、開放資料的推手之一，並具有台灣開放資料聯盟會長.....他指出，他親身投入台灣與國際同步推動政府開放資料，這幾年公私協力的氛圍越來越融洽，開放政府的文化逐漸受到重視，相信未來會更好。...表示未來他會持續借鏡民間創新與合作精神，把危機當成轉機，創造更多台灣轉型躍升的機會，讓開放政府與公私協力能搭配成為下一階段的目標。....保證未來環境部一定是一個非常尊重專業、公開、透明的部會，也會是一個積極推動開放政府的部會。</t>
  </si>
  <si>
    <t>https://www.rti.org.tw/news/view/id/2203147</t>
  </si>
  <si>
    <t>一連串關於環境新部長彭啟明的新聞，都會提到他開放資料、開放政府的背景。RTI新聞比較多深談開放政府。其他新聞來源以標準新聞稿露出，或是強調跟賴總統間的歷史。</t>
  </si>
  <si>
    <t>工商時報</t>
  </si>
  <si>
    <t>響應世界地球日 第一銀行邀減塑愛地球</t>
  </si>
  <si>
    <t>2024.04.22</t>
  </si>
  <si>
    <t>2023年首創「ESG永續應用地圖查詢平台」，打造一站式查詢政府環境和氣候變遷開放資料，內含「綠色生活」、「自然環境」及「氣候變遷」三大主題查詢專區，整合政府資料開放平台API資料，有效協助企業了解產業災害風險潛勢與環境敏感區資訊，提出永續環境方案。</t>
  </si>
  <si>
    <t>https://www.ctee.com.tw/news/20240422700576-431201</t>
  </si>
  <si>
    <t>Ubuntu Community Discourse</t>
  </si>
  <si>
    <t>FOSSASIA Summit 2024 Recap! - @sukso96100 Youngbin Han</t>
  </si>
  <si>
    <t>@sukso96100 Youngbin Han's 在FOSSASIA 2024 組織 Korean FOSS 社群攤位、推廣 Ubuntu&amp;Korean LoCo’s活動、並推廣今年的 UbuCon Asia 2024 (Jaipur, India)。</t>
  </si>
  <si>
    <t>https://discourse.ubuntu.com/t/fossasia-summit-2024-recap/44238</t>
  </si>
  <si>
    <t>https://2024.ubucon.asia/</t>
  </si>
  <si>
    <t>蕃新聞</t>
  </si>
  <si>
    <t>AI助力智慧城市 MIC分享全球發展趨勢、AI應用案例</t>
  </si>
  <si>
    <t>「37th MIC FORUM Spring」聚焦於人工智慧（AI）產業前瞻趨勢以及AI治理、應用商機、系統發展與終端產品觀測等面向。
智慧城市的建設還需要克服一些挑戰，如成本問題、數據安全和隱私問題等。</t>
  </si>
  <si>
    <t>https://groups.google.com/a/ocf.tw/g/opentechnews/c/bHFeK1Z9y8s</t>
  </si>
  <si>
    <t>政策</t>
  </si>
  <si>
    <t>RTI，科技新報</t>
  </si>
  <si>
    <t>科技新戰線 美國審查中國使用RISC-V 晶片風險</t>
  </si>
  <si>
    <t>路透社23日報導，根據一封送交給美國國會議員的信函，美國商務部正在審查中國對開放原始碼(open source)RISC-V晶片科技的工作，對美國國家安全的影響。RISC-V和英國的半導體和軟體設計業者「安謀國際科技公司」(Arm Holdings)在專業技術上競爭激烈，它能在從智慧型手機晶片到人工智慧(AI)先進處理器等各方面扮演關鍵要角。這項技術被阿里巴巴集團(Alibaba Group Holding)等中國主要科技企業使用，並成為美中先進晶片技術戰略性競爭的一道新戰線。美國商務部正在努力審查可能的風險、並評估商務部門是否有合適的行動，能有效地處理任何潛在的問題。同時認為需要審慎行動，以免傷害到身為RISC-V技術國際集團一部份的美國企業。</t>
  </si>
  <si>
    <t>https://www.rti.org.tw/news/view/id/2203625</t>
  </si>
  <si>
    <t>推動</t>
  </si>
  <si>
    <t>CNA</t>
  </si>
  <si>
    <t>「台灣人工智慧博覽會(AI EXPO Taiwan)」登場 竹縣率AI園區廠商參展</t>
  </si>
  <si>
    <t>台灣年度最盛大人工智慧專業展「AI EXPO Taiwan 2024」今年以「AIvolution 全面進化」為主軸，於 4月24 日至4月26 日在台北開展。新竹縣政府邀請AI智慧園區四大廠商在A5展位參展，是全國唯一參展的縣市。縣長楊文科表示，縣府打造「科技首都，幸福竹縣」，將智慧新科技如open data、my data大量導入城市數據平台，提供讓縣民更有感的服務。在推動Open Data部分，11月新竹縣政府再度榮獲數位發展部「資料開放金質獎」第二組地方政府第1名。</t>
  </si>
  <si>
    <t>https://www.cna.com.tw/postwrite/chi/368914</t>
  </si>
  <si>
    <t>上報 @YAM</t>
  </si>
  <si>
    <t>新聞產業轉型浪潮　紀錄片「星星之火3：與AI共舞、守護真實之光」上線</t>
  </si>
  <si>
    <t>AI 可加速新聞產出，但也讓假新聞更難被識破，同時因競爭注意力，造成同溫層加厚。
倫敦政經學院2023年一份全球調查報告顯示，已有75%的新聞業者正在使用AI，同時卻有82%的受訪者擔心AI會影響新聞品質。
網路媒體造成最大的問題就是偏食，你會習慣在自己的同溫層中獲取資訊。 未來 AI 透過語言學習會更瞭解我，更懂得如何討好我。
一個自動生成的程式語言，可以一鍵讀取 open data、直接使用資料 照片。</t>
  </si>
  <si>
    <t>https://n.yam.com/Article/20240424234764</t>
  </si>
  <si>
    <t>僑務電子報</t>
  </si>
  <si>
    <t>讚台灣數位民主典範 法國新書「演算法獨裁」輿論好評</t>
  </si>
  <si>
    <t>法國新書「演算法獨裁」出版，分析推薦演算法對社會的危險，並以台灣為例，呼籲推動民主數位轉型。作者表示，台灣向世界展現以數位強化民主是可能的，深具啟發性。
台灣對於開放源碼（Open Source）、自由軟體（Free Software）等數位工具的應用，都是可以被其他民主體制借鏡，達成民主良性循環。
作者密切觀察台灣選舉，覺得台灣堅持實體投票相當具啟發性：「台灣對科技極度開放，卻不全面依賴科技。採最安全的實體投票，但同時也邀請民眾和網紅共同監票、直播。這就是台灣在真實與數位世界間找到的民主道路，台灣可說是其他民主在隧道另一端的光芒」。</t>
  </si>
  <si>
    <t>https://ocacnews.net/article/367625</t>
  </si>
  <si>
    <t>(2024/05 第一次協作結束點)</t>
  </si>
  <si>
    <t>2024 May - 2</t>
  </si>
  <si>
    <t>放言；yahoo新聞，來自鏡傳媒</t>
  </si>
  <si>
    <t>【獨家】陳其邁拍板高雄市副市長人選 數發部次長、蘇系大將出線</t>
  </si>
  <si>
    <t>高雄市長陳其邁將延攬過去擔任行政院副院長的辦公室主任、現任數位發展部政務次長的李懷仁出任副市長。在黨內隸屬蘇系（蘇貞昌系統）的李懷仁，歷任府院黨要職。...陳當時曾私下對媒體大讚，防疫期間的口罩實名制，除了唐鳳之外，「懷仁就是幕後最大功臣」。...李懷仁現任數位發展部政務次長，擅長政策判斷、媒體社群，過去協助政策領域為資通訊政策、5G、AIOT、政府開放資料、大數據、智慧城市、政府數位轉型與發展、數位支付與純網銀等政策研擬分析。</t>
  </si>
  <si>
    <t>https://tw.news.yahoo.com/%E7%8D%A8%E5%AE%B6-%E9%99%B3%E5%85%B6%E9%82%81%E6%8B%8D%E6%9D%BF%E9%AB%98%E9%9B%84%E5%B8%82%E5%89%AF%E5%B8%82%E9%95%B7%E4%BA%BA%E9%81%B8-%E6%95%B8%E7%99%BC%E9%83%A8%E6%AC%A1%E9%95%B7-%E8%98%87%E7%B3%BB%E5%A4%A7%E5%B0%87%E5%87%BA%E7%B7%9A-090000051.html</t>
  </si>
  <si>
    <t>MSN，來自Newtalk新聞；放言；</t>
  </si>
  <si>
    <t>氣象專家彭啟明出任環境部長 連結產官學界打造淨零生態系</t>
  </si>
  <si>
    <t>彭啟明不僅是氣候專家，更是台灣開放政府、開放資料的推手之一，...與產業界有相當密切的合作關係。...台灣氣候聯盟有八大企業成員，除了有台積電之外，台達電、友達光電、台灣微軟、光寶科技、宏碁電腦、和碩聯合科技、華碩電腦也都是代表，彭啟明同時具有電腦公會及氣候變遷聯盟雙重身分，串接產業與企業，促進與政府合作，提早達成碳中和的目標。...值得注意的是，賴清德在副總統任內與台北市電腦公會成員往來，得知該聯盟討論綠能相關議題，便主動親自邀請台積電董事長劉德音加入討論，該聯盟八大企業因此成形。</t>
  </si>
  <si>
    <t>https://www.msn.com/zh-tw/news/national/%E6%B0%A3%E8%B1%A1%E5%B0%88%E5%AE%B6%E5%BD%AD%E5%95%9F%E6%98%8E%E5%87%BA%E4%BB%BB%E7%92%B0%E5%A2%83%E9%83%A8%E9%95%B7-%E9%80%A3%E7%B5%90%E7%94%A2%E5%AE%98%E5%AD%B8%E7%95%8C%E6%89%93%E9%80%A0%E6%B7%A8%E9%9B%B6%E7%94%9F%E6%85%8B%E7%B3%BB/ar-AA1ngTW3</t>
  </si>
  <si>
    <t>LF OpenChain</t>
  </si>
  <si>
    <t xml:space="preserve">
Webinar: LF Management &amp; Best Practices Portal</t>
  </si>
  <si>
    <t>本次網路研討會由 Linux 基金會研究高級副總裁希拉里·卡特 (Hilary Carter) 主持，介紹了 LF 管理和最佳實踐，這是「最佳實踐」社群匯聚的數位家庭。在這裡，您將能夠找到標準、參考材料、課程、現場活動和網路研討會、研究、專案社群和自動化工具，以幫助您開始專案或組織的開源之旅，並使其步入正軌！</t>
  </si>
  <si>
    <t>https://openchainproject.org/webinar/2024/04/18/webinar-management-best-practices-portal</t>
  </si>
  <si>
    <t>Webinar: OFE Briefing on the Cyber Resilience Act</t>
  </si>
  <si>
    <t>本次網路研討會主題介紹 歐盟網路韌性法案 Cyber Resilience Act (CRA) 。由 OpenForum Europe (OFE) 資深政策顧問 Ciarán O’Riordan 主持的特別簡報會，內容涉及影響開源、業務流程和風險管理的歐洲政策議題。</t>
  </si>
  <si>
    <t>https://openchainproject.org/news/2024/04/23/webinar-cyber-resilience-act</t>
  </si>
  <si>
    <t>Business Wire</t>
  </si>
  <si>
    <t>Data4Industry-X Bridging Industrial Data Ecosystems by Interfacing with OPC UA Protocol and using Eclipse Dataspace Components for a Sustainable &amp; Competitive Industry</t>
  </si>
  <si>
    <t>在AIF（未來工業聯盟）的支援下，Data4Industry-X最初響應發電和汽車市場，收集了來自Dawex，施耐德電氣，法雷奧，CEA和Prosyst的技術和工業專業知識，以提供廣泛的跨境，跨公司，跨工廠的工業數據交換。...Data4Industry-X解決方案旨在支援所有行業利益相關者的數字化轉型，並創建一個涵蓋各種規模組織的引人注目的行業數據生態系統，依靠Dawex數據交換技術。該解決方案基於開放且與雲無關的架構，以提供可信、安全、主權和合規的數據交換環境，實現 Gaia-X 事實上的標準。</t>
  </si>
  <si>
    <t>https://www.businesswire.com/news/home/20240421440918/en/Data4Industry-X-Bridging-Industrial-Data-Ecosystems-by-Interfacing-with-OPC-UA-Protocol-and-using-Eclipse-Dataspace-Components-for-a-Sustainable-Competitive-Industry</t>
  </si>
  <si>
    <t>https://www.data4industry-x.com/</t>
  </si>
  <si>
    <t>Sina 新浪香港，來自GlobeNewwire 環球新聞社</t>
  </si>
  <si>
    <t>CISA, DHS S&amp;T and OpenSSF Announce Global Launch of Software Supply Chain Open Source Project</t>
  </si>
  <si>
    <t>開源安全基金會（OpenSSF）與網路安全和基礎設施安全域（CISA）和國土安全部（DHS）科學技術局（S&amp;T）合作，今天宣佈推出和提供Protobom，一種新的和創新的開源軟體供應鏈工具。Protobom 使所有組織（包括系統管理員和軟體開發社區）能夠讀取和生成軟體物料清單 （SBOM） 和文件數據，並將這些數據轉換為標準行業 SBOM 格式。OpenSSF進一步致力於促進Protobom的開源和協作開發，同時鼓勵開源貢獻者社區的發展。</t>
  </si>
  <si>
    <t>https://portal.sina.com.hk/finance/finance-globenewswire/globenewswire/2024/04/16/811607/cisa-dhs-st-and-openssf-announce-global-launch-of-software-supply-chain-open-source-project/</t>
  </si>
  <si>
    <t>https://openssf.org/</t>
  </si>
  <si>
    <t>EU commission</t>
  </si>
  <si>
    <t xml:space="preserve"> Questions and Answers on the European Health Data Space</t>
  </si>
  <si>
    <t>歐盟對於 EHDS（歐盟健康資料空間）釋疑
用除：健康特定資料共享原則、通用標準及實作、資料建設及政府在各方面使用資料
誰受益：病人、醫護、研究人員、政策制定者、健康產業
剩餘還有介紹相對應政府架構、委員會、經費來源等等資訊</t>
  </si>
  <si>
    <t>https://ec.europa.eu/commission/presscorner/detail/en/qanda_24_2251</t>
  </si>
  <si>
    <t>mondaq</t>
  </si>
  <si>
    <t xml:space="preserve">EU Data Act: Time To Get Started With Compliance </t>
  </si>
  <si>
    <t>EU Data Act 2024 年 1 月 11 日生效，涵蓋的組織需要在 2025 年 9 月 12 日之前履行其義務。
此網頁概述了組織需要了解的有關數據法案的 10 件事以及他們需要採取的遵守步驟：
- 數據法的目的：消除數據市場障礙，促進數據的訪問、分享和使用，並加強個人對其數據的控制。
- 適用對象：適用於連接產品和相關服務的用戶、製造商、數據持有者、數據接收者、數據處理服務提供者及公共部門。
- 定義：連接產品是指能生成、收集和通信數據的設備；相關服務是指與連接產品相關的數位服務。
- 主要義務：
  - 用戶：擁有訪問和分享數據的權利，但不得用於競爭性目的。
  - 數據持有者：必須向用戶提供數據並確保易於訪問。
  - 處理服務提供者：需確保客戶能輕鬆切換服務提供商。
- 覆蓋數據：包括產品數據和相關服務數據，但不包括推斷數據。
- 與其他法規的關係：補充數據治理法和一般數據保護條例。
- 組織需要做的準備：確保產品和服務符合數據訪問義務，準備相關通知和內部流程。
- 遵守期限：2025年9月12日開始適用。
- 監管機構：每個成員國需指定負責監管和監督的機構。
- 違規風險：罰款可能高達2000萬歐元或全球年營業額的4%。</t>
  </si>
  <si>
    <t>https://www-mondaq-com.translate.goog/unitedstates/data-protection/1455022/eu-data-act-time-to-get-started-with-compliance?_x_tr_sl=auto&amp;_x_tr_tl=zh-TW&amp;_x_tr_hl=zh-TW</t>
  </si>
  <si>
    <t>Data act 的解釋網站</t>
  </si>
  <si>
    <t>iapp</t>
  </si>
  <si>
    <t>A view from Brussels: To be sovereign, or not to be</t>
  </si>
  <si>
    <t>歐洲網路安全局的歐洲雲端服務網路安全認證計畫再次推遲通過。 有國家像法國希望將網路空間納入主權，但在公司的立場則反對。
歐洲數據保護委員會（EDPB）批准了其2024-2027年組織戰略，這是主席Anu Talus領導下的首個戰略。EDPB將優先考慮三個目標：增強數據保護機構之間的合作；EU數字包法和數據保護規則之間的互動，無論是在商業還是執法領域；促進高法律標準和全球數據保護機構與其他（非隱私）監管機構之間的合作。該戰略圍繞四個支柱和關鍵行動進行結構化，並預計發布多個即將出台的指南。
四個支柱：支柱1「增強協調和促進合規」、支柱2「加強共同執法文化和有效合作」、支柱3專注於「在發展中的數字和跨監管環境中保護數據保護」、支柱4專注於「促進全球數據保護對話」</t>
  </si>
  <si>
    <t>https://iapp.org/news/a/a-view-from-brussels-to-be-sovereign-or-not-to-be/</t>
  </si>
  <si>
    <t>潛在翻譯標的</t>
  </si>
  <si>
    <t>Finextra</t>
  </si>
  <si>
    <t>How to define cloud sovereignty and the quest for balance</t>
  </si>
  <si>
    <t>資料在哪裡保存、在哪裡共享、誰可以金融機構存取資料、是在現在「更多資料等於更多權力」的世界中需要考慮。隨著越來越多的資料儲存在基於雲端的資料中心，歐盟、美國和中國頒布了GDPR、資料法案、資料治理法案、美國雲端法案和Schrems II等法規，來控制流量跨境資料並透過將數據保留在主權領土上，來最大程度地降低風險。
此篇討論RED HAT 、IBM 等公司認為的雲端主權、資料儲存服務監控、營運彈性等議題。
還有討論「主權雲」是另一種獨立存在的雲，還是基於一致基礎設施的混合模式的一部分？</t>
  </si>
  <si>
    <r>
      <rPr>
        <color rgb="FF1155CC"/>
        <sz val="10.0"/>
        <u/>
      </rPr>
      <t>https://www.finextra.com/the-long-read/1000/how-to-define-cloud-sovereignty-and-the-quest-for-balance</t>
    </r>
    <r>
      <rPr>
        <sz val="10.0"/>
      </rPr>
      <t>e</t>
    </r>
  </si>
  <si>
    <t>Line Today, from anue鉅亨網 ；自由時報；</t>
  </si>
  <si>
    <t>環境部長彭啟明拋碳費、空品、環評新政3箭 公務行程全透明</t>
  </si>
  <si>
    <t>落實開放政府- 首創公開行程環長
彭啓明強調自身過去是 Open Data 聯盟會長，非常重視開放政府的議題，主張政府應以開放資料格式方式公開資訊供民間運用與創意加值。他預告未來會從環境部做起，進行更多的開放政府作為。未來不僅會揭露部長與次長的公務行程資訊，在前一日公開至官網，更會將每一場拜會的內容作摘要，供國民檢視，以回應民間開放政府的訴求。</t>
  </si>
  <si>
    <t>https://today.line.me/tw/v2/article/WBY3nyQ</t>
  </si>
  <si>
    <t>Miragenews</t>
  </si>
  <si>
    <t>世界銀行支援保加利亞提供數據治理支援</t>
  </si>
  <si>
    <t>世界銀行今天宣佈，將向保加利亞電子政務部提供分析和諮詢支援，以加強數據治理和數據空間的戰略、組織和技術基礎。這項工作將支援保加利亞努力與歐盟的數據戰略保持一致，該戰略旨在為經濟和社會提供更多數據，同時確保歐洲的隱私、數據保護和競爭規則得到充分尊重。...歐盟宣佈在農業、能源、金融、綠色協定、衛生等領域推出14個歐洲共同數據空間，並頒布了《數據治理法》和《數據法》，以加強跨部門和成員國的數據治理和數據共用的有利法律框架。</t>
  </si>
  <si>
    <t>https://www.miragenews.com/world-bank-backs-bulgaria-in-data-governance-1239398/</t>
  </si>
  <si>
    <t>環境資訊中心</t>
  </si>
  <si>
    <t>空污無國界 全球污染最嚴重機場TOP20出爐</t>
  </si>
  <si>
    <t>這份報告由英國智庫開放數據研究所（Open Data Institute，ODI）與智庫「運輸環境」（T&amp;E）聯手，涵蓋了全球1300座機場的二氧化碳排放量、氮氧化物（NOx）和細懸浮微粒（PM2.5）排放調查，也是首份將航空貨運、客運航班碳排納入計算的報告，揭露航空業對全球氣候的影響。</t>
  </si>
  <si>
    <t>https://e-info.org.tw/node/239121</t>
  </si>
  <si>
    <t>台灣 2015 年有好些介紹英國智庫開放數據研究所（Open Data Institute，ODI）及其推動開放資料方式的文章。當年該智庫曾訪台。</t>
  </si>
  <si>
    <t>Data Spaces Support Centre, KU Leuven</t>
  </si>
  <si>
    <t>From Data Silos to Data Ecosystems: The role of Data Spaces Support Centre in addressing the legal challenges of the future single market for data</t>
  </si>
  <si>
    <t>該大學的新研究領域，希望解決未來單一資料市場的法律挑戰方面的作用。
討論歐盟委員會提出的新歐洲資料治理方法，如何從資料孤島到資料生態系統
無論資料空間未來的具體發展如何，其政策重要性都是顯而易見的：它們促進資料主權、可互通和值得信賴的環境，在這種環境中，資料可以在充分尊重歐盟價值觀的情況下跨部門重複使用。</t>
  </si>
  <si>
    <t>https://www.law.kuleuven.be/citip/blog/from-data-silos-to-data-ecosystems-the-role-of-data-spaces-support-centre-in-addressing-the-legal-challenges-of-the-future-single-market-for-data/</t>
  </si>
  <si>
    <t>silo to ecosystem 的概念我覺得很有趣，或許也可以套用到 foss 生態系內
(2024/05 第二次協作結束點)</t>
  </si>
  <si>
    <t>2024 Jun - 1</t>
  </si>
  <si>
    <t>The Information</t>
  </si>
  <si>
    <t>How Will Open-Source AI Make Money?</t>
  </si>
  <si>
    <t>Meta 和其他開源人工智慧軟體開發人員將如何從中賺錢?
計劃從這些更大的商業模型以及尚未發布的應用程式介面中賺錢，該介面將允許客戶調整或微調其模型。</t>
  </si>
  <si>
    <t>https://www.theinformation.com/articles/how-will-open-source-ai-make-money</t>
  </si>
  <si>
    <t>研究</t>
  </si>
  <si>
    <t>OpenData Charter</t>
  </si>
  <si>
    <t>Sustainable Data for a Changing World:</t>
  </si>
  <si>
    <t>《開放資料憲章》十年了，同時發布 2024-2026 年策略 (全文下載) ，研究不斷變化的資料世界、數位民主、隱私和開放性。《開放資料憲章》正在朝著更具主題性的工作方向發展，同時，必須注意讓開放資料作為數位人權討論的中心地位。開放資料在對更民主的技術方式的需求中可以發揮作用。</t>
  </si>
  <si>
    <t>https://medium.com/opendatacharter/sustainable-data-for-a-changing-world-ae69968c2516</t>
  </si>
  <si>
    <t>https://drive.google.com/file/d/1zNnajjgToiTYegPMh-4jc8USydNSL3CI/view</t>
  </si>
  <si>
    <t>Open Up Guide for Care Sector</t>
  </si>
  <si>
    <t>數據在提供公共決策依據方面發揮核心作用。這些數據不僅可以作為輸入，能夠確定需要優先關注的領域，還可以有效分配資源並實施具體策略，以減輕護理負擔。從服務的地理分佈到識別特別脆弱的人口群體，數據是將決策轉變為策略性和知情流程的驅動力。
《護理部門開放指南》，這是一個為決策者提供的實用工具，擁有超過35 個關鍵領域用於衡量地方一級護理供給和需求的資料集。透過該工具，目的是從數據使用和發布的角度為綜合護理系統的全球討論做出貢獻。護理政策中使用數據的 5 個關鍵領域。
1.公共政策規劃。| 2.根據不同年齡層的需求制定有針對性的公共政策。| 3. 提供衛生服務。| 4.危機和自然災害評估和預防。|5. 護理政策的影響評估</t>
  </si>
  <si>
    <t>https://medium.com/opendatacharter/open-up-guide-for-care-sector-16c68a08dc41</t>
  </si>
  <si>
    <t>GitHub加速器資助11個開源AI專案，強調普及化、資安與問責應用</t>
  </si>
  <si>
    <t>GitHub加速器（GitHub Accelerator）計畫今年聚焦人工智慧技術主題。官方根據促進新職業發展、影響廣泛社群、強化資安，以及提高開源人工智慧技術的開發者生產力等指標來評估專案，總共挑出了11個，不僅符合當前人工智慧趨勢，且具有發展潛力的開源人工智慧專案重點輔導。</t>
  </si>
  <si>
    <t>https://github.blog/2024-05-23-2024-github-accelerator-meet-the-11-projects-shaping-open-source-ai/#unsloth-ai-bending-the-cost-curve-of-fine-tuning-models</t>
  </si>
  <si>
    <t>Google開源半監督式框架SPADE，即使標記資料不足也可高效偵測異常</t>
  </si>
  <si>
    <t>Google開源了一個稱為SPADE（Semi-supervised Pseudo-labeler Anomaly Detection with Ensembling）半監督異常偵測框架，這個方法的優勢在於，能夠克服其他半監督異常偵測方法的缺點。SPADE只需要少量已標記與大量未標記資料，即可高效地偵測異常。</t>
  </si>
  <si>
    <t>https://opensource.googleblog.com/2024/05/semi-supervised-anomaly-detection-under-distribution-mismatch.html</t>
  </si>
  <si>
    <t>樹莓派推出要價70美元的AI套件</t>
  </si>
  <si>
    <t>樹莓派（Raspberry Pi）周二（6/4）發表了支援Raspberry Pi 5單板電腦的AI套件，安裝後將可用來建置複雜的AI視覺應用程式，此一套件是與以色列AI業者Hailo Technologies合作開發，售價70美元。</t>
  </si>
  <si>
    <t>https://www.raspberrypi.com/news/raspberry-pi-ai-kit-available-now-at-70/</t>
  </si>
  <si>
    <t>Stability AI釋出文字生成聲音模型開源版本Stable Audio Open</t>
  </si>
  <si>
    <t>Stability AI 釋出了文字生成聲音模型的開源版本Stable Audio Open，在使用者輸入文字描述後，它便能生成長達47秒的樣本與聲音效果。Stability AI以超過48萬個聲音紀錄來訓練Stable Audio Open模型，其中超過9成的紀錄來自Freesound，另有少數來自「免費音樂檔案」（Free Music Archive ，FMA），所有的音訊檔都取得了免費的共享許可，並使用預訓練的T5（Text-to-Text Transfer Transformer）文字模型來處理與生成文本。</t>
  </si>
  <si>
    <t>【moda專欄】隱私強化技術：平衡資料保護與資料應用</t>
  </si>
  <si>
    <t>政府資料涉及個資或敏感內容時，該如何平衡隱私保護與資料運用需求以開放資料 （open data） 。數位發展部已公告「隱私強化技術應用指引」（https://gov.tw/Byk） 、發展「資料共享分析之隱私保護開源方案」，是解決單位間分享資料的障礙，以解決業務痛點的應用情境。數位部推動「隱私強化技術（Privacy Enhancing Technologies，簡稱 PETs）」，本文討論哪些隱私強化技術可產生與原始資料特徵相似，但不洩漏隱私資訊的資料集，進而替代原始資料的釋出及運用，讓參與的各利害關係人，都能安心無負擔的進行資料分析。</t>
  </si>
  <si>
    <t>https://moda.gov.tw/press/multimedia/blog/12810</t>
  </si>
  <si>
    <t>Yahoo  - 壹蘋新聞</t>
  </si>
  <si>
    <t>王義川貼3張「台中遊客分析圖」洗電信監控疑雲 中市府不背書：均開放數據</t>
  </si>
  <si>
    <t>民進黨政策會執行長王義川日前在政論節目聲稱可依據手機訊號定位，比對參加青島東路活動群眾的年齡，引發電信監控疑雲，後在Thread 取用「大玩台中」官網、台中市觀旅局分析遊客行為的圖表，包括男女占比、年齡層等，還說「歡迎大家來台中玩」。中市府回應，該數據均為政府開放資料，均是「去識別化」資訊，完全不含個資數據，絕無個資疑慮。</t>
  </si>
  <si>
    <t>https://tw.news.yahoo.com/%E7%8E%8B%E7%BE%A9%E5%B7%9D%E8%B2%BC3%E5%BC%B5-%E5%8F%B0%E4%B8%AD%E9%81%8A%E5%AE%A2%E5%88%86%E6%9E%90%E5%9C%96-%E6%B4%97%E9%9B%BB%E4%BF%A1%E7%9B%A3%E6%8E%A7%E7%96%91%E9%9B%B2-%E4%B8%AD%E5%B8%82%E5%BA%9C%E4%B8%8D%E8%83%8C%E6%9B%B8-%E5%9D%87%E9%96%8B%E6%94%BE%E6%95%B8%E6%93%9A-105600802.html</t>
  </si>
  <si>
    <t>https://tourstats.taichung.gov.tw/CrossAna/index</t>
  </si>
  <si>
    <t>法制化</t>
  </si>
  <si>
    <t>CONVINGTON</t>
  </si>
  <si>
    <t>Italy Proposes New Artificial Intelligence Law</t>
  </si>
  <si>
    <t xml:space="preserve">義大利提出新人工智慧法
擬議的法律規定了（1）人工智慧系統和模型的開發和使用的一般原則； (2) 部門規定，特別是醫療保健部門和醫療保健科學研究方面的規定； (3) 關於人工智慧國家戰略和治理的規則，包括根據歐盟人工智慧法案指定國家主管機關； （四）著作權法的修改。 </t>
  </si>
  <si>
    <t>https://www.insideprivacy.com/artificial-intelligence/italy-proposes-new-artificial-intelligence-law/</t>
  </si>
  <si>
    <t>DECIDEURS</t>
  </si>
  <si>
    <t>Un facilitateur à l’ère des données : le fournisseur de services d’intermédiation au sens du Data Governance Act</t>
  </si>
  <si>
    <t>自 2023 年 9 月 24 日，即 DGA 生效之日起，任何在歐盟開展或希望開展資料中介服務活動的公司均須受到《資料治理法》第三章規定的強制監管（「資料中介服務的要求”）
DGA 生效之日已經開展此項活動的公司，他們必須在 2025 年 9 月 24 日之前遵守 DGA 6 下與其地位相關的義務。</t>
  </si>
  <si>
    <t>https://groups.google.com/a/ocf.tw/g/opentechnews/c/GY2jsTOrLZc</t>
  </si>
  <si>
    <t>Gazeta Prawna</t>
  </si>
  <si>
    <t>Zarzuty dla Polski za brak przepisów ułatwiających wymianę danych</t>
  </si>
  <si>
    <t xml:space="preserve">對波蘭缺乏促進數據交換的法規的指控 
波蘭尚未指定負責執行第2022/868號條例－《資料治理法》（以下簡稱：DGA）的機構，歐盟委員會已對波蘭提起訴訟。
該法規自去年 9 月 24 日起適用，但無法在波蘭充分使用，因為沒有為其創建法律框架的法案，主要指定執行 DGA 的機構。 </t>
  </si>
  <si>
    <t>https://www.gazetaprawna.pl/firma-i-prawo/artykuly/9515703,zarzuty-dla-polski-za-brak-przepisow-ulatwiajacych-wymiane-danych.html</t>
  </si>
  <si>
    <t>European Health Data Space: Revolutionizing health care, scientific research in the EU</t>
  </si>
  <si>
    <t>EHDS規定患者有權訪問、存取、移動其健康數據；限制衛生專業人員訪問的權利、了解訪問其資料的衛生專業人員的身份。除此之外，EHDS 為研究和創新提供數據，要求「資料持有者」定義他們持有的數據類別，將其提供給「健康資料訪問機構」。前述機構可透過數種方式將資料提供給科學研究人員等「資料用戶」。 由於選擇退出權在實踐中如何運作和管理尚不完全清楚，許多國會議員關切其資料保護議題。</t>
  </si>
  <si>
    <t>https://iapp.org/news/a/european-health-data-space-revolutionizing-health-care-scientific-research-in-the-eu</t>
  </si>
  <si>
    <t>ZDNET ZDNET網路</t>
  </si>
  <si>
    <t>Loi Sren : l’Arcep surveillera le cloud</t>
  </si>
  <si>
    <t>根據《數據治理法》，這些參與者必須承擔多項義務。特別是，向負責監管的地方當局申報的權利。因此，法國Arcep宣佈為相關組織打開一個新視窗。它還提供標籤服務，以推廣符合歐洲法規標準的成員。除此之外外，Arcep現在還負責監控雲計算參與者。Arcep必須確保遵守《數據法》規定的義務。該歐洲法規於 2024 年 1 月生效，將於 2025 年 9 月生效。該文本規定了要求不同雲服務之間互操作性的措施，取消退出費用，以及供應商提供的雲信用額度上限。</t>
  </si>
  <si>
    <t>https://www.zdnet.fr/actualites/loi-sren-larcep-surveillera-le-cloud-392043.htm</t>
  </si>
  <si>
    <t>Knews</t>
  </si>
  <si>
    <t xml:space="preserve">EU warns Cyprus on 15% business tax compliance - </t>
  </si>
  <si>
    <t xml:space="preserve">歐盟警告塞普勒斯遵守15%營業稅
塞浦路斯沒有正確實施《資料治理法案》, 
歐盟敦促塞浦路斯和其他國家對跨國公司實施15%的稅率並改善資料共享法規
此法有關數據中介制定規則，並鼓勵出於公共利益（例如醫學研究）自願共享數據。 </t>
  </si>
  <si>
    <t>https://knews.kathimerini.com.cy/en/news/eu-warns-cyprus-on-15-business-tax-compliance</t>
  </si>
  <si>
    <t>India Education Diary Bureau Admin</t>
  </si>
  <si>
    <t>The World Bank to Support Bulgaria on Data Governance</t>
  </si>
  <si>
    <t>世界銀行今天宣佈，將向保加利亞電子政務部提供分析和諮詢支援，以加強數據治理和數據空間的戰略、組織和技術基礎。這項工作將支援保加利亞努力與歐盟的數據戰略保持一致，該戰略旨在為經濟和社會提供更多數據，同時確保歐洲的隱私、數據保護和競爭規則得到充分尊重。...歐盟宣佈在農業、能源、金融、綠色協定、衛生等領域推出14個歐洲共同數據空間，並頒布了《資料治理法》和《資料法》，以加強跨部門和成員國的數據治理和數據共用的有利法律框架。</t>
  </si>
  <si>
    <t>https://indiaeducationdiary.in/the-world-bank-to-support-bulgaria-on-data-governance/</t>
  </si>
  <si>
    <t>European Union</t>
  </si>
  <si>
    <t>Commission calls on 18 Member States to comply with the EU Data Governance Act</t>
  </si>
  <si>
    <t>歐盟委員會要求18個成員國遵守歐盟《資料治理法》
歐盟委員會決定通過向18個成員國發送正式通知函來啟動侵權程序，這些成員國沒有指定負責機構來實施《資料治理法》，或者未能證明後者有權執行該法要求的任務。這些會員國現在有兩個月的時間來答覆和解決委員會提出的缺點。如沒有令人滿意的答覆，委員會可決定發表合理意見。</t>
  </si>
  <si>
    <t>https://zpravy.kurzy.cz/768735-commission-calls-on-18-member-states-to-comply-with-the-eu-data-governance-act/</t>
  </si>
  <si>
    <t>6 月第一次協作結束點</t>
  </si>
  <si>
    <t>2024 Jun - 2</t>
  </si>
  <si>
    <t>VentureBeat</t>
  </si>
  <si>
    <t>Why MSFT Copilot+ and AI PCs are the final nail in the coffin of open computing</t>
  </si>
  <si>
    <t>MSFT Copilot+ 和 AI PC：開放式運算的終結
近年來，PC 的開放性穩定下降，尤其是在向可升級性較低的筆記型電腦和行動裝置的轉變中，以蘋果的 iPhone 和 MacBook 系列為代表。這些產品雖擁有時尚設計和硬體軟體集成，但限制了用戶的升級和維修權利。
雲端運算進一步削弱了用戶控制力，人工智慧驅動的個人電腦可能成為傳統開放範式的終結。微軟利用 Copilot 在 Windows 上確保其主導地位，塑造未來的電腦互動方式，但“始終在線、始終監視”的特性帶來了安全和隱私威脅，可能導致資料洩漏或濫用。短期內生產力或提升，但長期可能成為新的數位枷鎖，犧牲自主性、安全性和靈活性。</t>
  </si>
  <si>
    <t>https://venturebeat.com/ai/ceding-control-how-copilot-and-pcs-could-make-enterprises-beholden-to-microsoft/</t>
  </si>
  <si>
    <t>隱私</t>
  </si>
  <si>
    <t>INSIDE 硬塞的網路趨勢觀察</t>
  </si>
  <si>
    <t>拿使用者的圖訓練 AI？Adobe 澄清惹議霸王條款</t>
  </si>
  <si>
    <t>Adobe 最近更新了其使用條款，說明 Adobe 如何使用客戶內容來訓練其 Firefly 生成式 AI 模型，引發了爭議遭指霸王條款。Adobe 對此也發出澄清，他們不會使用客戶內容來訓練 Firefly，Firefly 是根據已授權和公共領域的資料集進行訓練的。</t>
  </si>
  <si>
    <t>https://www.inside.com.tw/article/35269-adobe-firefly-copyright-issue</t>
  </si>
  <si>
    <t>zd net</t>
  </si>
  <si>
    <t>IBM open-sources its Granite AI models – and they mean business</t>
  </si>
  <si>
    <t>開源大型語言模型（LLMs）並不容易，但 IBM 已經做到了。IBM 透過使用來自 GitHub Code Clean 等公開資料集預訓練資料來管理 Granite 程式碼的開源，來避免版權或法律問題。
Granite LLMs 模型除了讓程式設計師除可以編寫程式碼之外，還可以建立測試、尋找和修復錯誤，以節省時間和精力。IBM 看到了此模型的商業利益，在於Granite 採用開源庫，具有明確授權，且數據已被清理和過濾，消除了仇恨、辱罵和褻瀆語言。</t>
  </si>
  <si>
    <t>https://www.zdnet.com/article/ibm-open-sources-its-granite-ai-models-and-they-mean-business/</t>
  </si>
  <si>
    <t>OpenSSF</t>
  </si>
  <si>
    <t>Social engineering takeovers of open source projects</t>
  </si>
  <si>
    <t>XZ Utils 後門(CVE-2024-3094) 可能不是一個孤立的事件
開源安全（OpenSSF）和 OpenJS 基金會發佈社會工程接管開源專案的警訊。OpenJS 基金會與其他兩個專案收到一系列可疑 email 請求更新 JavaScript 專案並解決漏洞，但未提具體細節。這模式與  XZ/liblzma 後門事件的模式非常相似，此潛在安全問題亦已向美國國土安全部 （DHS） 的網路安全和基礎設施安全域 （CISA）報告。OpenSSF 與 Linux 基金會希望提高所有開源維護者對此威脅的認識，此文列出可能是社交攻擊的徵兆及保護開源專案的步驟，呼籲產業和政府幫助保護關鍵開源基礎設施。</t>
  </si>
  <si>
    <t>https://openssf.org/blog/2024/04/15/open-source-security-openssf-and-openjs-foundations-issue-alert-for-social-engineering-takeovers-of-open-source-projects/</t>
  </si>
  <si>
    <t>翻譯建議</t>
  </si>
  <si>
    <t>Blog: Evan Boehs</t>
  </si>
  <si>
    <t>Bountysource Stole at Least $17,000 from Open Source Developers</t>
  </si>
  <si>
    <t>Bountysource 代表了一種剝削關係，財富被殘酷地從維護者身上榨取的最佳例子：
Bountysource 是一個專案，允許用戶透過「資助」問題，讓這個問題可以優先得到解決。維護人員將優先考慮資金較高的問題。（像是提出對開源軟體修改的請求）
2017年，該專案被加密貨幣公司CanYa收購，2020年出售給「The Blockchain Group」。巧合的是，大約在這個時候，Bountysource 計畫宣布對其服務條款進行重大修改，使他們能夠在兩年後竊取無人認領的賞金。
早在 2023 年 6 月，他們支付的數千美元款項就被忽視了。不久之後，在出現危機跡象後，該公司於 2023 年悄悄宣布破產，留下數萬美元未付。</t>
  </si>
  <si>
    <t>https://boehs.org/node/bountysource</t>
  </si>
  <si>
    <t>劉宏恩／對外提供「去識別」電信資料是消費者「同意」還是「被同意」？</t>
  </si>
  <si>
    <t>電信公司是否早已長期將用戶們的電信與足跡資料，對外提供給廣告公司或政府單位做分析？是否曾取得民眾同意及影響民眾的個資隱私保護？政大研究生就政大法學院學生進行意見調查。劉宏恩認為︰現行電信公司所謂「取得用戶同意」的契約內容、約定方式，並非民眾知情且自由選擇下的「同意」，而且對於業者的「去識別化」連主管機關NCC都認為有待加強與釐清的情況下，現行各家電信業者對廣告公司與政府單位提供「假名化」資料的業務有嚴重適法性的問題，應該全面暫停，僅能維持提供真正完全去識別化的「匿名化（去連結）」資料的業務。</t>
  </si>
  <si>
    <t>https://www.twreporter.org/a/opinion-telecommunication-information-privacy</t>
  </si>
  <si>
    <t>The Register</t>
  </si>
  <si>
    <t>Bruce Perens Proposes Draft Post-Open Zero Cost License</t>
  </si>
  <si>
    <t>Bruce Perens 提出原始碼開放後零成本授權條款草案
Open Source 定義共同提出者 Bruce Perens 發布原始碼開放後零成本授權條款草案，目的是減輕開源軟體開發的後果，讓企業有比現今更容易的開源合規作法，OSS 開發者也能確實得到回饋。
作法包含成立一管理組織，使使用 Post-Open 軟體營利超過 500 萬美元的公司貢獻 1% 收入給管理組織進行資金分配給組織內的開源專案。資金也可用於發起開源侵權訴訟，並設計方式讓侵權者能矯正合規問題、並確實讓 OSS 開發人員獲得回饋。</t>
  </si>
  <si>
    <t>https://www.theregister.com/2024/04/30/bruce_perens_post_open_license/</t>
  </si>
  <si>
    <t>Signal 總裁：AI 時代將帶來隱私惡夢</t>
  </si>
  <si>
    <t>加密訊息應用程式 Signal 總裁 Meredith Whittaker 近日就在一場 AI 高峰會上指出，ChatGPT 時代的 AI 熱潮是基於過去十多年來，科技公司大規模收集使用者個人資訊，並基於這些珍貴數據資源，培育出了 ChatGPT 這樣革命性的 AI 產品。Whittaker 指出，建立和運行 AI 模型需要花費大量資金，科技公司將不可避免地試圖透過出售使用者的個人隱私的方式來回收投資。</t>
  </si>
  <si>
    <t>https://www.inside.com.tw/article/35251-siganl-gen-ai-privacy</t>
  </si>
  <si>
    <t>lawfaremedia</t>
  </si>
  <si>
    <t>Questioning the conventional wisdom on liability and open source software</t>
  </si>
  <si>
    <t>挑戰關於 OSS 法律責任的傳統觀念
最近 XZ Utils 程式庫後門事件肇因於開源軟體 (OSS) 被惡意專案志願維護者破壞，此文挑戰公司和OSS 開發人員的潛在責任相關義務的主流看法。
主流意見：1. OSS 開發者對其創建、修改和再發佈的軟體不應承擔法律責任 2. 責任應針對公司，防止其對發佈帶有已知漏洞或明顯缺陷的開源組件的產品 3. 應推動涵蓋 OSS 的軟體責任法，以促進企業對開源軟體生態系進行大量投資。
本文認為：1. 免除法律責任的原則不應包含惡意 OSS 開發者之惡意行為。2. 此議題首先須探究哪些是不安全的編碼行為，而這領域仍缺乏系統研究，但公司責任可至少避免使用報廢軟體 (end-of-life (EOL) OSS, or abandonware)，因其再無修復漏洞可能。3.軟體責任法也可能導致企業減少 OSS 的使用，或是圍牆開源花園(walled OS garden) 的興起-即框限開源組件的來源，而非轉向投資開源生態系。</t>
  </si>
  <si>
    <t>https://www.lawfaremedia.org/article/questioning-the-conventional-wisdom-on-liability-and-open-source-software</t>
  </si>
  <si>
    <t>abandonware 廢棄軟體
Note: 可以和法律的老師討論看看</t>
  </si>
  <si>
    <t>什麼是 Data Clean Room (DCR) 資料無塵室？為何 DCR 是對抗 Cookieless 必備應用？</t>
  </si>
  <si>
    <t>Data Clean Room（資料無塵室）是近年來在廣告產業日益重要的一種資料交換模式。Data Clean Room，則是把這一個保護資料的工作，放到多邊資料結合比對後，在匯出的過程時才移除掉個資，避免第一方資料外洩的風險。國外Google Ads 、Facebook Advanced Analytics、Amazon Marketing Cloud、 Disney 等各大媒體集團Data Clean Room 持續普及中。台灣市場 TNL Mediagene 與 91APP 合作算是台灣第一個成功的 Data Clean Room 的案例。</t>
  </si>
  <si>
    <t>https://www.inside.com.tw/feature/rmn/35287-what-is-dcr</t>
  </si>
  <si>
    <t>DR</t>
  </si>
  <si>
    <t>中央社/INSIDE 硬塞的網路趨勢觀察</t>
  </si>
  <si>
    <t>Meta 通知歐洲使用者：你們的貼文要拿來訓練 AI 了</t>
  </si>
  <si>
    <t>中央社整理多家外媒報導，Meta 公司近期通知 Facebook（臉書）與 Instagram 歐洲用戶，從今年 6 月 26 日起歐洲用戶的公開貼文將可用於訓練人工智慧（AI）模型，用戶有權提出異議、反對個人資料被蒐集使用，但 Meta 也有權否決異議。</t>
  </si>
  <si>
    <t>https://www.inside.com.tw/article/35188-meta-use-your-data-train-ai</t>
  </si>
  <si>
    <t>theverge</t>
  </si>
  <si>
    <t>Senate committee passes three bills to safeguard elections from AI, months before Election Day</t>
  </si>
  <si>
    <t>美國參議院規則委員會通過了三項法案，旨在保護選舉免於人工智慧欺騙。
《為人工智慧選舉管理員做好準備法案》（ Preparing Election Administrators for AI Act）將指示選舉援助委員會(EAC) 與國家標準與技術研究所(NIST ) 合作創建一份報告為選舉辦公室提供有關人工智慧對虛假資訊、網路安全和選舉管理的相關風險的資訊。它還包括一項修正案，要求就人工智慧最終如何影響 2024 年選舉提供報告。
《保護選舉免受人工智慧欺騙法案》（Protect Elections from Deceptive AI Act ）禁止在某些情況下使用人工智慧深度偽造聯邦候選人來籌集資金或影響選舉
《人工智慧選舉透明度法案》（AI Transparency in Elections Act）將對人工智慧大幅創建或更改的政治廣告強制執行免責聲明。</t>
  </si>
  <si>
    <t>https://www.theverge.com/2024/5/15/24157328/senate-rules-committee-ai-election-safeguards-bills</t>
  </si>
  <si>
    <r>
      <rPr>
        <sz val="10.0"/>
      </rPr>
      <t xml:space="preserve">https://www.rules.senate.gov/imo/media/doc/s3897chairwomansmark.pdf
https://www.rules.senate.gov/imo/media/doc/s2770chairwomansmark.pdf
</t>
    </r>
    <r>
      <rPr>
        <color rgb="FF1155CC"/>
        <sz val="10.0"/>
        <u/>
      </rPr>
      <t>https://www.rules.senate.gov/imo/media/doc/s3875chairwomansmark.pdf</t>
    </r>
  </si>
  <si>
    <t>Tech Crunch/ Tech Orange</t>
  </si>
  <si>
    <t>Signal 總裁批科技業「兄弟會」文化，揭露 AI 假訊息危機</t>
  </si>
  <si>
    <t>Signal 基金會總裁梅若迪斯‧惠特克在訪談中，討論了監控廣告、英國的「在線安全法案」及歐盟的「兒童性虐待材料（EU-CSAM）」提案，並認為這些措施非常危險。如果英國通過法案要在端到端加密中設置後門， Signal 會選擇退出英國，以維護用戶的資安。</t>
  </si>
  <si>
    <t>https://www.inoreader.com/article/3a9c6e741a361467-signal-ai</t>
  </si>
  <si>
    <t>Slack 用戶怒了！AI 訓練資料使用惹議</t>
  </si>
  <si>
    <t>Slack 使用自身的用戶資料來訓練其新的 AI 服務。如果用戶不希望 Slack 使用他們的資料，則需要通過電子郵件向公司申請退出。問題在於，這些退出條款隱藏在一個看似過時且令人困惑的隱私政策。</t>
  </si>
  <si>
    <t>https://buzzorange.com/techorange/2024/05/20/slack-under-attack-over-sneaky-ai-training-policy/</t>
  </si>
  <si>
    <t>授權</t>
  </si>
  <si>
    <t>光靠AI，Shutterstock一年進帳上億美元！「授權」為何變素材圖庫成長新動能？</t>
  </si>
  <si>
    <t>知名圖片及音樂素材平台Shutterstock，就找到了新的成長機會，2023年他們靠著授權AI公司使用他們的素材，用以訓練AI模型，獲得1.04億美元的收入。社群平台Reddit簽訂總價值高達2.03億美元的資料授權許可，提供平台上1億則發文和16億則評論供AI公司訓練模型。科技公司如Google、OpenAI 開始積極與媒體締結授權，或許因為各家媒體對內容是否被擅自拿來訓練AI越來越敏感，去年12月《紐約時報》便把OpenAI及微軟一狀告上法院，指控這兩家公司侵犯其著作權。</t>
  </si>
  <si>
    <t>https://www.bnext.com.tw/article/79344/shutterstock-ai-licensing</t>
  </si>
  <si>
    <t>GitHub blog</t>
  </si>
  <si>
    <t>Open-source AI projects selected by GitHub accelerator</t>
  </si>
  <si>
    <t>GitHub加速器評選11個開源AI項目 
unsloth AI—讓客製化人工智慧模型更容易使用。
Giskard—人工智慧模型的測試平台，帶來透明度和問責制。
A-Frame—讓任何人都可以創建 AR/VR 數位世界，無論其技術專業知識如何。
Nav2—自主移動機器人 (AMR) 導航解決方案。
OpenWebUI — 透過世界一流的 UI 在本地帶來隱私、安全性和效能。
LLMware.ai — 簡化企業安全、靈敏地製作 RAG 模型的方式。
LangDrive - 用於 LLM 訓練的即插即用 API。
HackingBuddyGPT－安全團隊的助手。
Web-Check－開發人員能夠更輕鬆地全面了解網站、基礎設施和伺服器，從而實現安全民主化。
marimo — 提高 ML 和資料科學筆記本的標準。
Talkd.ai — 透過輕鬆的 RAG 部署和管理來最佳化 LLMs。</t>
  </si>
  <si>
    <t>https://github.blog/2024-05-23-2024-github-accelerator-meet-the-11-projects-shaping-open-source-ai/#giskard-the-testing-platform-for-ai-models-bringing-transparency-and-accountability</t>
  </si>
  <si>
    <t>6 月第 2 次協作終點</t>
  </si>
  <si>
    <t>2024 July - 1</t>
  </si>
  <si>
    <t>定義</t>
  </si>
  <si>
    <t>Nature</t>
  </si>
  <si>
    <t>Not all ‘open source’ AI models are actually open: here’s a ranking</t>
  </si>
  <si>
    <t>這篇文章討論了許多大科技公司聲稱其 AI 模型是開源的，但實際上限制了程式碼和訓練數據的訪問。研究指出，「開源」的定義尚未一致，但完全開放對於科學和AI問責制至關重要。小型公司反而在有限資源下更透明，並且為了歐盟AI法案的法律規定，開源的定義將變得更加重要。此文亦提供各AI 模型不同面向的開源程度比較表。</t>
  </si>
  <si>
    <t>https://www.nature.com/articles/d41586-024-02012-5</t>
  </si>
  <si>
    <t>6/25 Ian 看到時直接分享到office，YH 再收至此表</t>
  </si>
  <si>
    <t>Japan's push to make all research open access</t>
  </si>
  <si>
    <t>日本推動所有政府資助的研究開放獲取
日本政府正在推動一項計劃，讓日本公共資助的研究成果免費閱讀。六月，科學部將向大學撥款建造基礎設施，使研究論文在全國範圍內免費閱讀。此前，該部在 2 月宣布，從 2025 年 4 月起，接受政府資助的研究人員將被要求在機構儲存庫上免費提供論文供閱讀。</t>
  </si>
  <si>
    <t>https://www.nature.com/articles/d41586-024-01493-8</t>
  </si>
  <si>
    <t>Public Rsearch, Public Reference!</t>
  </si>
  <si>
    <t>Open Data Charter in Medium</t>
  </si>
  <si>
    <t>Open Data and Climate Change: Experiences from the Americas</t>
  </si>
  <si>
    <t>2022 年底至 2023 年初，開放資料憲章（ODC）與美洲開發銀行（IDB）合作，從開放資料的角度，研究對該地區 6 個國家（智利、多明尼加共和國、烏拉圭、巴拿馬、哥倫比亞和巴貝多）準備《巴黎協定》機制報告時，各自的氣候資料治理組織和發布之不同模式，以了解其開放資料政策落實的狀態。 結論： 
-上述六分之五的國家都制定了關於獲取公共資訊、開放資料和環境問題國際承諾的政策。 
-政府產生與氣候變遷相關的資訊和數據不一定採用開放格式，這限制了對公民的適當問責​​，並阻礙了潛在的再利用，而這些再利用可能會反饋到公共政策。 
-除了遵守資料和資訊發布義務之外，重要的是強調重用過程所帶來的良性循環。 
報告中還包含建議作法。</t>
  </si>
  <si>
    <t>https://medium.com/opendatacharter/open-data-and-climate-change-experiences-from-the-americas-7e4187b89f4c</t>
  </si>
  <si>
    <t>TechOrgange</t>
  </si>
  <si>
    <t>Meta 因監管阻力暫停歐洲 AI 訓練計畫，難以越過 GDPR 雷池</t>
  </si>
  <si>
    <t>Meta 已經在美國等市場利用用戶生成的內容訓練 AI，但非營利隱私活動組織 NOYB 向歐盟 11 個成員國提出申訴，指控 Meta 在多方面違反了 GDPR 規定。歐洲嚴格的 GDPR 法規使得 Meta 和其他公司在利用用戶生成的訓練材料改進 AI 方面面臨障礙。Meta 確認由於愛爾蘭資訊保護委員會（DPC）和英國資訊專員辦公室（ICO）的反對，將暫停在歐盟和英國使用用戶資料訓練人工智慧 （ AI） 的計畫。</t>
  </si>
  <si>
    <t>https://buzzorange.com/techorange/2024/06/17/meta-pauses-plans-to-train-ai-using-european-users-data-bowing-to-regulatory-pressure/</t>
  </si>
  <si>
    <t>buzzorange</t>
  </si>
  <si>
    <t>開放原始碼 RISC-V 登陸筆記型電腦！Framework 再創新</t>
  </si>
  <si>
    <t>模組化電腦公司 Framework 宣布，將為 Framework Laptop 13 推出採用 RISC-V 架構的全新主機板。RISC-V 是一種開放原始碼的指令集架構 (ISA)。不同於 Intel 和 AMD 等傳統 x86 晶片，ISA 可以免費使用和修改。
Framework 表示推出 RISC-V 主機板的目的，是為開發人員、修補者和愛好者提供一個測試和創建 RISC-V 應用程式的平台。他們承認，RISC-V 的效能和功能目前還無法與 Intel 和 AMD 相媲美，但他們認為，RISC-V 代表了未來，並有可能為晶片市場帶來更多競爭。</t>
  </si>
  <si>
    <t>https://buzzorange.com/techorange/2024/06/19/the-framework-laptop-13-is-about-to-become-one-of-the-worlds-first-risc-v-laptops/</t>
  </si>
  <si>
    <t>techcrunch</t>
  </si>
  <si>
    <t>Databricks acquires Tabular to build a common data lakehouse standard</t>
  </si>
  <si>
    <t>分析和人工智慧巨頭 Databricks 收購了數據管理公司 Tabular，收購金額未公開。
Databricks 是為儲存大量原始資料而建構的資料架構，同時提供結構和管理功能。
Databricks 和 Tabular 承諾致力於制定共同標準。這次收購凸顯了我們對雲端中開放格式和開源資料的承諾</t>
  </si>
  <si>
    <t>https://techcrunch.com/2024/06/04/databricks-acquires-tabular-to-build-a-common-data-lakehouse-standard/</t>
  </si>
  <si>
    <t>JFrog and GitHub team up to closely integrate their source code and binary platforms</t>
  </si>
  <si>
    <t>GitHub 和 JFrog 週三宣佈建立合作夥伴關係，兩家公司的平台之間將進行更深入的集成，為開發人員及其支援團隊提供更簡單的方法來管理兩個服務的源代碼和生成的二進制文件。
Frog 的 Ben Haim 強調，他的公司專注於二進位文件，並圍繞二進位檔案創建安全產品。 「JFrog 是世界上唯一的綜合軟體供應鏈平台，」GitHub 是一個原始碼平台。</t>
  </si>
  <si>
    <t>https://techcrunch.com/2024/05/29/jfrog-and-github-team-up-to-closely-integrate-their-source-code-and-binary-platforms/</t>
  </si>
  <si>
    <t>TechOrange</t>
  </si>
  <si>
    <t>Reddit 強力反擊：更新標準阻擋 AI 數據抓取</t>
  </si>
  <si>
    <t>社群媒體平台 Reddit 宣布將更新網站的網頁標準，以阻止自動化數據抓取。這項措施是在一些 AI 新創公司被指控繞過規則以蒐集內容後提出的。這一消息緊隨《連線》雜誌的調查之後，該調查發現 AI 搜索新創公司 Perplexity 可能繞過 robots.txt 來爬取網頁內容。今年六月，商業媒體出版商《富比士》也指控 Perplexity 抄襲其調查報導，用於生成 AI 系統摘要而未標明來源。
Reddit 表示，研究人員和像網際網路檔案館這樣的組織將繼續可以非商業使用其內容。</t>
  </si>
  <si>
    <t>https://buzzorange.com/techorange/2024/06/26/reddit-update-web-standard-block-automated-website-scraping/</t>
  </si>
  <si>
    <t>With the EU AI Act incoming this summer, the bloc lays out its plan for AI governance</t>
  </si>
  <si>
    <t>歐盟揭開了新人工智慧辦公室的結構，這是根據歐盟人工智慧法案建立的生態系統建設和監督機構。繼歐盟立法者上週最終批准該法規後，基於風險的人工智慧監管框架預計將於 7​​ 月底前生效。 AI辦公室將於6月16日生效。
歐盟人工智慧辦公室五個部門各自關注重點的細分：
監管和合規
AI 安全
資助 AI   &amp; 機器人技術
AI 促進社會公益
AI 創新與政策協調</t>
  </si>
  <si>
    <t>https://techcrunch.com/2024/05/29/with-the-eu-ai-act-incoming-this-summer-the-bloc-lays-out-its-plan-for-ai-governance/</t>
  </si>
  <si>
    <t xml:space="preserve">南華早報South China Morming Post </t>
  </si>
  <si>
    <t>Scientists find security risk in RISC-V open-source chip architecture that China hopes can help sidestep US sanctions</t>
  </si>
  <si>
    <t>中國科學家發現RISC-V開源晶片架構有安全風險，此漏洞允許攻擊者在沒有管理權限的情況下繞過現代處理器和作業系統的安全保護，導致受保護的敏感資訊被盜並侵犯個人隱私。
據報，考量快速技術轉移和中國行業採用該架構的擔憂，美國正在考慮實施制裁，限制中國獲得 RISC-V 技術。
處理器相關的漏洞挖掘非常具有挑戰性。全球漏洞庫中收錄的處理器漏洞數量遠少於軟體和韌體漏洞數量。</t>
  </si>
  <si>
    <t>https://www.scmp.com/news/china/science/article/3265493/scientists-find-security-risk-risc-v-open-source-chip-architecture-china-hopes-can-help-sidestep-us</t>
  </si>
  <si>
    <t>Mozilla News</t>
  </si>
  <si>
    <t>New Research: The Risks and Rewards of Data for India’s 265 Million Students</t>
  </si>
  <si>
    <t>Mozilla 和 Aapti Institute 在美國國際開發署的支持下進行「加強印度學校的數據生態系統」的研究，為期九個月收集並分析印度 2.65 億名學生教育資料收集和分析，探討瞭如何負責任地利用入學率、師生比例、出勤率、評估結果和社會經濟資訊等數據來製定教育政策和干預措施。Mozilla 高級計畫官員 Mehan Jayasuriya 表示：「印度擁有世界上最大的教育系統之一，數據在制定其政策和干預措施方面發揮越來越關鍵的作用。」Aapti 聯合創始人 Astha Kapoor 表示：「在這個數據生態系統中，主要利益相關者——學生（通常在18 歲以下）、教師和家長——沒有辦法了解或質疑政府和私立教育機構如何收集和使用他們的數據。此外，教師日益承擔著資料收集的責任，增加了他們龐大的工作量。因此，需要批判性地審視教育數據生態系統：誰收集數據、誰使用數據、出於什麼目的以及人們在這個過程中擁有什麼機構？」</t>
  </si>
  <si>
    <t>https://foundation.mozilla.org/en/blog/new-research-the-risks-and-rewards-of-data-for-indias-265-million-students/</t>
  </si>
  <si>
    <t>Lexology</t>
  </si>
  <si>
    <t>EU moves closer to a unified digital health system with the European Health Data Space Regulation (EHDS)</t>
  </si>
  <si>
    <t>歐盟透過歐洲健康資料空間法規 (EHDS) 邁向統一數位健康系統邁進
EHDS 將建立一個中央數位健康平台，以促進成員國國家聯絡點之間的電子健康資料交換，並引入健康資料二次利用的框架。這種二次用途包括處理最初為患者護理活動收集的數據，例如科學研究、政策制定、創新和工業應用，以及培訓、測試和評估演算法，包括醫療設備的演算法。為了提供資料（包括個人資料）進行二次使用，成員國有責任指定一個或多個負責資料存取的實體（即健康資料存取機構），以供那些需要（並且可以透過特定許可取得）其存取的人使用。 EHDS 的目標是到 2028 年使整個歐盟的數位健康實踐標準化，並在 2030 年實現更多數據類別。</t>
  </si>
  <si>
    <t>https://www.lexology.com/library/detail.aspx?g=927f6daf-a4fe-4d79-9fcf-87621954287a</t>
  </si>
  <si>
    <t>YH: 有收過這個討論</t>
  </si>
  <si>
    <t>Fundtruck</t>
  </si>
  <si>
    <t>Comment la réglementation européenne favorise-t-elle les startups de l’IA ?</t>
  </si>
  <si>
    <t>歐洲法規如何支援人工智慧新創企業？
2023 年 9 月生效的《資料治理法案》透過推進公共機構的資料共享說明了這一動態。根據開放資料規則，該法規為公司重複使用來自公共機構的資料提供了可能性，這些資料特別受到商業機密、智慧財產權和個人資料的保護。當然，這種共享不是沒有條件的，必須提供一定的保證，例如資料的匿名化或其聚合。作為回報，公共實體可以提供一定的費用，但對於新創公司來說，這筆費用可以減少甚至免費。該法規還鼓勵企業和個人無私地共享資料。這樣做的目的是建立非營利組織持有的大型資料集。維護利他組織的公共登記冊。該文本將從 2025 年 9 月 12 日起適用。</t>
  </si>
  <si>
    <t>https://www.maddyness.com/2024/06/12/comment-la-reglementation-europeenne-favorise-t-elle-les-startups-de-lia/</t>
  </si>
  <si>
    <t>TheInformation</t>
  </si>
  <si>
    <t>California’s Flawed Effort to Regulate AI</t>
  </si>
  <si>
    <t>人工智慧的繁榮引發了監管機構的強烈反應，這將塑造人工智慧新創企業、平台和開源的未來。拜登總統去年發布了一項關於人工智慧的行政命令，歐盟也制定了人工智慧法案。 2024 年上半年，美國各州立法者提出了 745 項人工智慧相關法案，是 2023 年全年提案數量的 10 倍。</t>
  </si>
  <si>
    <t>https://www.theinformation.com/articles/californias-flawed-effort-to-regulate-ai</t>
  </si>
  <si>
    <t>Amos：來源有付費牆，不過這邊提供的數字挺有趣的，先收錄
YH:想確認 AI 法案，但無別提到三個開放是否要收。</t>
  </si>
  <si>
    <r>
      <rPr>
        <rFont val="Arial"/>
        <color theme="1"/>
        <sz val="10.0"/>
      </rPr>
      <t>Siliconrepublic;</t>
    </r>
    <r>
      <rPr>
        <rFont val="Arial"/>
        <color rgb="FF000000"/>
        <sz val="10.0"/>
      </rPr>
      <t>Techcentral.ie</t>
    </r>
  </si>
  <si>
    <t>Data governance roadmap revealed at IVI Summit in Maynooth</t>
  </si>
  <si>
    <t>愛爾蘭的新數據治理路線圖將做什麼？
梅努斯大學和創新價值研究所（IVI）發布了數據治理路線圖，提出了未來負責任且有效地使用數據和人工智慧的策略。該路線圖是一套指導方針，旨在幫助愛爾蘭成為一個數據知情的社會——一個能夠有效地從數據和人工智慧中受益，同時保持數據安全的社會。「資料治理」一詞有多種定義方式，但該文件本身將其描述為「人員、流程和技術的結構化促進，旨在在組織內和整個社會中培養適當的資料敏銳度、技能和行為。 」換句話說，它涉及將每個人聚集在一起以確保數據得到正確管理。</t>
  </si>
  <si>
    <t>https://www.siliconrepublic.com/enterprise/what-is-data-governance-roadmap-ireland-generative-ai 
https://www.techcentral.ie/national-data-governance-roadmap-revealed-at-ivi-summit-in-maynooth/</t>
  </si>
  <si>
    <t>公私協力</t>
  </si>
  <si>
    <t>Asterisk Magazine</t>
  </si>
  <si>
    <t xml:space="preserve">How to Make a Great Government Website - Dave Guarino
                                                        </t>
  </si>
  <si>
    <t>SNAP 計劃 GetCalFresh 是美國一個公私協助案例，此報導是對於此案負責人的訪問。
減少民眾提出補助申請的難度，讓社工更容易處理申請案。
本訪問談到與不同層級的部門合作，如何用同一個前端去支援不同政府所用的表單。還有談到政府與民間在想法之間的差異。</t>
  </si>
  <si>
    <t>https://asteriskmag.com/issues/06/how-to-make-a-great-government-website</t>
  </si>
  <si>
    <t>NASA</t>
  </si>
  <si>
    <t xml:space="preserve">NASA Releases New High-Quality, Near Real-Time Air Quality Data </t>
  </si>
  <si>
    <t>美國太空總署 (NASA) 提供了新的資料，可以以前所未有的分辨率提供空氣污染觀測——小至單一社區的規模。這些近乎即時的數據來自該機構的 TEMPO（對流層排放：污染監測）儀器，該儀器於去年推出，旨在透過徹底改變科學家從太空觀察空氣品質的方式來改善地球上的生活。這些新數據可從位於維吉尼亞州漢普頓的美國太空總署蘭利研究中心的大氣科學數據中心取得。</t>
  </si>
  <si>
    <t>https://science.nasa.gov/mission/tempo/</t>
  </si>
  <si>
    <t>Amos：或許 CivicSense 可用</t>
  </si>
  <si>
    <t>MedTech Intelligence</t>
  </si>
  <si>
    <t>The impacts of the EU Data Act on medical and health devices’ companies</t>
  </si>
  <si>
    <t>歐盟關於公平存取和使用資料的統一規則的法規（「歐盟資料法」）於 2024 年 1 月 11 日生效。連接的產品或相關服務。 《數據法案》將對全球公司產生重要影響，特別是對醫療和健康設備公司。違反資料共享相關義務的行為可能會受到歐盟《一般資料保護規範》(GDPR) 規定的行政罰款的制裁，即最高可達 20,000,000 歐元的行政罰款，或最高可達該組織全球年營業額的 4%侵權行為。</t>
  </si>
  <si>
    <t>https://medtechintelligence.com/feature_article/the-impacts-of-the-eu-data-act-on-medical-and-health-devices-companies/</t>
  </si>
  <si>
    <t>2024 Jul - 01</t>
  </si>
  <si>
    <t>駭客鎖定以色列政府機關及企業組織，意圖散布以開源工具打造的惡意程式GrassHopper</t>
  </si>
  <si>
    <t>駭客從事網路攻擊的過程裡，濫用開源的滲透測試工具的情況越來越常見，並且使得防守者識別攻擊行為難度隨之提升，甚至可能會無法與合法的滲透測試行為進行區別。
例如，資安業者 HarfangLab 在調查鎖定以色列政府、企業組織的攻擊行動過程裡，駭客使用的工具鏈主要由開源工具組成，僅有初始的HTA檔案及Nim下載器為自行開發，並自行架設WordPress網站做為交付有效酬載的管道，但研究人員認為上述攻擊內容小型團隊就能執行。這起資安事故的發生，突顯攻擊者有許多現成、公開的攻擊框架工具可用，使得未來的資安調查及威脅分析工作變得更加困難，成為資安人員將要面臨的挑戰。</t>
  </si>
  <si>
    <t>https://www.ithome.com.tw/news/163840</t>
  </si>
  <si>
    <t>TheRegister via HN</t>
  </si>
  <si>
    <t xml:space="preserve">
Why RISC-V must get its messaging right on open standard vs open source</t>
  </si>
  <si>
    <t>RISC-V 必須在開放標準與開源硬體之間正確定位，如被定義成標準就不應做為美中貿易戰中的制裁目標。
美國對 RISC-V 實施制裁, 增加管理機構RISC-V International及其合作夥伴的壓力。
美國認為RISC-V的開放性使得中國企業能夠取得美國技術並繞過制裁。
RISC-V 社群不希望受政治干預，怕會導致碎片化。
『開源』和『標準』這兩個術語經常互換使用。RISC-V ，在2022 年末和2023 年初更明確地定位為開放規範而不是開源硬。</t>
  </si>
  <si>
    <t>https://www.theregister.com/2024/05/29/riscv_messsaging_struggle/</t>
  </si>
  <si>
    <t>Chainguard Enhances Security With OSV Advisory Feed</t>
  </si>
  <si>
    <t>Chainguard 透過 OSV 諮詢源增強安全性
在當今快速發展的開源生態系統中，有效管理漏洞至關重要。為了解決這個問題，Chainguard 現在以開源漏洞 (OSV) 格式發布其安全諮詢來源。這種整合旨在簡化漏洞管理並增強開源軟體使用者的安全性。OSV是Google於2021年推出的開放標準，現已成為OpenSSF的一部分，簡化了開源維護者的漏洞報告，並提高了下游消費者漏洞查詢的準確性。透過以易於查詢的格式提供精確的元數據，OSV 簡化了識別和解決開源軟體中的安全性問題的過程。</t>
  </si>
  <si>
    <t>https://openssf.org/blog/2024/07/03/chainguard-enhances-security-with-osv-advisory-feed/</t>
  </si>
  <si>
    <t>Learn How To Develop Secure Software!</t>
  </si>
  <si>
    <r>
      <rPr>
        <rFont val="Arial"/>
        <color theme="1"/>
      </rPr>
      <t>開源安全基金會 (OpenSSF) 與 Linux 基金會培訓和認證合作，提供免費的線上培訓課程</t>
    </r>
    <r>
      <rPr>
        <rFont val="Arial"/>
        <b/>
        <color theme="1"/>
      </rPr>
      <t>「開發安全軟體」(LFD121)</t>
    </r>
    <r>
      <rPr>
        <rFont val="Arial"/>
        <color theme="1"/>
      </rPr>
      <t>。完成課程並通過期末考的學生將獲得有效期兩年的免費結業證書。本課程針對有興趣學習如何開發安全軟體的軟體開發人員（包括 DevOps 專業人員、軟體工程師、Web 應用程式開發人員等）。它側重於即使在資源有限的情況下也可以採取的實際步驟，以提高資訊安全。目標是讓這些人更容易創建和維護更難成功攻擊的系統，減少攻擊成功時的損害，並加快響應速度以快速修復漏洞。</t>
    </r>
  </si>
  <si>
    <t>https://openssf.org/blog/2024/07/08/learn-how-to-develop-secure-software/</t>
  </si>
  <si>
    <t>建議收錄學習資源</t>
  </si>
  <si>
    <t>OpenChain</t>
  </si>
  <si>
    <t xml:space="preserve">
Introduction to Open Source License Compliance Management (LFC193) – The Bite-Sized Videos</t>
  </si>
  <si>
    <r>
      <rPr>
        <rFont val="Arial"/>
        <color theme="1"/>
        <sz val="10.0"/>
      </rPr>
      <t>OpenChain 計畫與 LF Training 合作推出</t>
    </r>
    <r>
      <rPr>
        <rFont val="Arial"/>
        <b/>
        <color theme="1"/>
        <sz val="10.0"/>
      </rPr>
      <t>開源授權合規管理簡介 (LFC193)</t>
    </r>
    <r>
      <rPr>
        <rFont val="Arial"/>
        <color theme="1"/>
        <sz val="10.0"/>
      </rPr>
      <t>，這是一門免費的線上影片培訓課程，旨在幫助人們建立開始開源授權管理所需的基礎知識。</t>
    </r>
  </si>
  <si>
    <t>https://openchainproject.org/news/2024/07/07/lfc193-bite-sized-videos</t>
  </si>
  <si>
    <t>開源機器學習框架PyTorch存在重大漏洞，恐導致敏感的AI資料遭竊</t>
  </si>
  <si>
    <t>有研究人員於今年4月，向漏洞懸賞平臺 Huntr 通報開源機器學習框架 PyTorch存 在重大層級漏洞CVE-2024-5480，CVSS風險評分達到10分，影響2.2.2版以前的PyTorch。對此，Huntr 向通報者提供 1,500 美元予以獎勵，並於上週公布細節。對此，研究人員也提供概念性驗證（PoC）程式碼，並指出該漏洞可能帶來的影響：由於攻擊者可將其用來遠端攻擊分散式訓練的master節點，一旦這些節點遭到入侵，對方就有機會竊取與 AI 有關的敏感資料。</t>
  </si>
  <si>
    <t>https://www.inoreader.com/article/3a9c6e740af8dfa9-aiai</t>
  </si>
  <si>
    <t>太技術，想不到未來會運用的方式</t>
  </si>
  <si>
    <t>Nvidia 開源Nemotron-4 340B家族，以供開發者建置大型語言模型</t>
  </si>
  <si>
    <t>Nvidia上周開源了Nemotron-4 340B模型家族，該模型家族支援醫療照護、金融、製造、零售與其它領域的商業應用。</t>
  </si>
  <si>
    <t>https://www.ithome.com.tw/news/163490</t>
  </si>
  <si>
    <t>Meta Threads API向所有開發人員公開</t>
  </si>
  <si>
    <t>Meta本周二（6/18）宣布將社群平臺Threads API公開給所有開發人員，允許開發整合Threads的第三方應用程式。
Meta今年三月著手和數家網站開發商如Hootsuite、Sprinklr、Sprout Social、Social News Desk和Techmeme合作測試Threads API，本周在法國坎城金獅國際創意節活動中宣布該API向所有開發人員開放。</t>
  </si>
  <si>
    <t>https://www.ithome.com.tw/news/163538</t>
  </si>
  <si>
    <t>TORAX/iThome</t>
  </si>
  <si>
    <t>AI趨勢周報第255期： Google DeepMind開源核融合裝置模擬器TORAX</t>
  </si>
  <si>
    <t>Google DeepMind開源一款可微分的托卡馬克（Tokamak）核心運輸模擬器TORAX，採JAX框架，以Python實作。這款TORAX結合了物理模組和機器學習模型，可用來計算托卡馬克核融合裝置中，離子熱傳輸、電子熱傳輸、粒子傳輸和電流擴散的耦合方程式。
Google DeepMind表示，目前已在GitHub上開源，要促進更多核融合的研究。</t>
  </si>
  <si>
    <t>https://torax.readthedocs.io/en/latest/index.html</t>
  </si>
  <si>
    <t>太技術，想到未來會運用的方式</t>
  </si>
  <si>
    <t>Ars technica via HN</t>
  </si>
  <si>
    <t>Spotify won't open-source Car Thing, but starts refund process</t>
  </si>
  <si>
    <t>Spotify 不會開源 Car Thing 此聽歌硬體，但啟動退款流程
-----
Spotify 有一款安裝在汽車上的播放設備 Car Thing，今年5月宣布將透過網路停用支援。
該硬體的 4 吋觸控螢幕和大旋鈕很方便，也吸引了車內沒有整合式觸控螢幕或不支援在車內播放 Spotify 的其他服務（例如 Apple CarPlay）的用戶。由於此硬體壽命不到三年，為讓人們延長硬體的使用壽命並最大限度地減少浪費，開源倡導者與關注電子垃圾議題的用戶希望此硬體能被開源而非報廢變磚 (bricking)，但 Spotify 並無此意願。</t>
  </si>
  <si>
    <t>https://arstechnica.com/gadgets/2024/05/spotify-wont-open-source-car-thing-but-starts-refund-process/</t>
  </si>
  <si>
    <t>bricking 變磚</t>
  </si>
  <si>
    <t>Android Authority via HN</t>
  </si>
  <si>
    <t>Turns out Spotify can't open-source Car Thing because it's a potato</t>
  </si>
  <si>
    <t>Spotify 一直面臨批評，因為它決定在今年年底前將其 Car Thing 設備變成磚塊，導致它們無法使用。
科技記者 Josh Hendrickson 透露，Car Thing 在 Linux 上運行，實際上是開源的。
該設備的規格極其薄弱，使其無法運行超出其預期的基於網路的媒體播放器的任何內容。</t>
  </si>
  <si>
    <t>https://www.androidauthority.com/spotify-car-thing-open-source-3449487/</t>
  </si>
  <si>
    <t>OpenSourceInitiative</t>
  </si>
  <si>
    <t>Contributions of Open Source to AI: a panel discussion at CPDP-ai conference</t>
  </si>
  <si>
    <t>開源對 AI 的貢獻：CPDP-ai 會議上的小組討論
開源一直在創造公平的技術競爭環境。我們從過去使用開源軟體的經驗知道，讓人們不受限制地存取數位生產手段可以帶來巨大的經濟價值。這在歐洲和中國都有效。我們認為開源人工智慧可以產生同樣的價值創造效果，同時將科技的控制權交到社會手中。
結論：我們認為開源是對抗人工智慧市場集中的最佳解藥。</t>
  </si>
  <si>
    <t>https://opensource.org/blog/contributions-of-open-source-to-ai-a-panel-discussion-at-cpdp-ai-conference</t>
  </si>
  <si>
    <t>OpenSSF Case Study: Enhancing Open Source Security with Sigstore at Stacklok</t>
  </si>
  <si>
    <t>為了幫助開源社群和開發人員更安全地生產和使用開源軟體，Stacklok  將 Sigstore 與兩種產品整合，以解決開源消費者和生產者的軟體供應鏈安全問題。由於最近發生的XZ Utils 漏洞等公共事件以及行政命令14028 等立法，對開源安全性的審查日益加強，這意味著對於開源維護者和社群來說，採取行動保護其軟體專案並確保其安全變得前所未有的重要。這就是為什麼我們讓開源社群免費使用我們的產品。我們的目標是提高開源社群對 Sigstore 和建置來源重要性的認識，並幫助社群更輕鬆地自動化工件簽名和驗證，並使其成為軟體開發生命週期的一部分。</t>
  </si>
  <si>
    <t>https://openssf.org/blog/2024/06/04/openssf-case-study-enhancing-open-source-security-with-sigstore-at-stacklok/</t>
  </si>
  <si>
    <t>Green Web Foundation via HN</t>
  </si>
  <si>
    <t>Start calculating digital carbon emissions in 5 minutes with CO2.js</t>
  </si>
  <si>
    <t>使用 CO2.js 在 5 分鐘內開始計算數位碳排放量
CO2.js 匯集了一流的、經過同行評審的碳估算模型, 打包到一個多功能的開源 JavaScript 庫中。採用 Apache 2.0 授權。
用這個模型，可以算出數位行為產生的碳排。像是：傳輸 1G 資料會產生多少碳排。</t>
  </si>
  <si>
    <t>https://www.thegreenwebfoundation.org/news/start-calculating-digital-carbon-emissions-in-5-minutes-with-co2-js/</t>
  </si>
  <si>
    <t>OSRD via HN</t>
  </si>
  <si>
    <t>OSRD: Open-Source Railway Designer</t>
  </si>
  <si>
    <t>可以自行設計鐵路的基礎設施和時間表，檢測衝突並可視化能力，並自動將新列車加入現有時刻表中。
專案中也包含開放資料，供模擬使用。像是：車輛數值、基礎設施資料,用以進行設計，或時間表開放資料來研究的使用情況。
GPL v3.0</t>
  </si>
  <si>
    <t>https://osrd.fr/en/</t>
  </si>
  <si>
    <t>https://github.com/OpenRailAssociation/osrd</t>
  </si>
  <si>
    <t>OpenChainForU</t>
  </si>
  <si>
    <t>Policy Briefing Series: EU Cyber Resilience Act, AI Act and the Product Liability Directive</t>
  </si>
  <si>
    <t>政策簡報系列：歐盟網路彈性法案、人工智慧法案和產品責任指令
OpenChain 計畫與 OpenForum Europe (OFE) 合作舉辦了一系列由三部分組成的網路研討會，涵蓋影響開源、業務流程和風險管理的歐洲政策議題。這些網路研討會於 2024 年 5 月至 6 月期間舉行，旨在簡單、清晰和公正地了解歐盟近期政策將對開源供應鏈中的公司產生的影響。
此文簡介: 
The EU Cyber Resilience Act 歐盟網路韌性法案
The EU AI Act 歐盟人工智慧法案
The EU Product Liability Directive 歐盟產品責任指令</t>
  </si>
  <si>
    <t>https://openchainproject.org/news/2024/06/19/policy-briefing-series-ofe</t>
  </si>
  <si>
    <t>建議收錄學習資源。</t>
  </si>
  <si>
    <t>What’s in the SOSS? Podcast #7 – Stacklok’s Adolfo García Veytia Digs Into SBOMs and VEX</t>
  </si>
  <si>
    <t>為什麼 SBOM 對開發商和下游消費者都很重要？
SBOM 是透明供應鏈的基礎。我們看到了類似的透明供應鏈。因此，您對軟體的了解越多，您就可以更好地決定是否使用它。
此文為專訪 Adolfo García Veytia — aka Puerco 的 Podcast。他是Stacklok 的軟體工程師。 Puerco 也是 Kubernetes SIG Release 的技術主管，專門負責軟體的供應鏈改進，以推動發布流程背後的自動化。
SBOM 有兩個主要標準。一種是來自 Linux 基金會的 SPDX，另一種是託管在 OWASP 上的 CycloneDX，目前也正在標準化中。這兩個標準都足以涵蓋該材料清單。在涉及該組件列表時，兩個標準或多或少共享相同的抽象。這兩個標準也已經發展到不僅僅捕獲依賴項清單。他們可以捕獲構建來源以及有關機器學習和人工智慧工作負載等的資訊。</t>
  </si>
  <si>
    <t>https://www.inoreader.com/article/3a9c6e740b421eca-whats-in-the-soss-podcast-7-stackloks-adolfo-garcia-veytia-digs-into-sboms-and-vex</t>
  </si>
  <si>
    <t>Open Source</t>
  </si>
  <si>
    <t>開源、私有和公共區塊鏈平台：它們提供什麼</t>
  </si>
  <si>
    <t>開源、私有和公共區塊鏈平台：它們提供什麼
開源平台在推動創新和區塊鏈技術的民主化方面發揮著至關重要的作用。這些平台有望透過提供一系列好處對社會的未來產生重大影響。
開源區塊鏈平台是去中心化網絡，允許開發人員建立、部署和操作基於區塊鏈的去中心化應用程式 (dApp) 和智能合約。與由特定組織擁有和控制的專有平台不同，開源平台提供對其原始程式碼的透明訪問，允許開發人員檢查、修改和貢獻程式碼庫。流行的開源區塊鏈平台的例子包括以太坊、Hyperledger Fabric 和 EOSIO。
這些平台的一些主要功能包括：透明度、可訪問性、可客製化、社群協作、互通性
使用開源平台實施區塊鏈解決方案的一些主要好處是：成本效益、安全性、創新、社群支持、適應性
此文提供對公共區塊鏈與私有區塊鏈的比較。</t>
  </si>
  <si>
    <t>https://www.opensourceforu.com/2024/06/open-source-private-and-public-blockchain-platforms-what-they-offer/</t>
  </si>
  <si>
    <t>Yaak via HN</t>
  </si>
  <si>
    <t>Why Not Open Source?</t>
  </si>
  <si>
    <t>API 開發工具Yaak 回應不開源決定的理由
Yaak 是一個 API 相關開發工具，Yaak 在官網上說明不打算開源的原因：希望保持封閉核心 +開源的插件系統，從而無需負擔開源的壞處（像是不禮貌的回饋、無工作所得、issue 過多），即可獲得開源的好處。文中列出多項開源專案會遇到的困擾，讓小型專案難以承擔。此專案希望透過只開源插件的方式，讓專案維持一定透明性，保持與社群良好關係的同時，獲得開源優勢但也避免開源困擾。</t>
  </si>
  <si>
    <t>https://yaak.app/blog/why-not-open-source</t>
  </si>
  <si>
    <t>GlobalNewsWire/新浪香港</t>
  </si>
  <si>
    <t>Open Invention Network Expands Patent Protection for Open Source Software Developers, Distributors and Users</t>
  </si>
  <si>
    <t>歷史上最大的專利互不侵犯社區開放發明網路 Open Invention Network (OIN) 擴大了對開源軟體 (OSS) 的專利保護。為了跟上創新的步伐，開放發明網路定期修改和擴展其 Linux 系統，該系統在其強大的交叉許可範圍內定義了核心 OSS 的專利非侵犯覆蓋範圍 (patent non-aggression coverage in core OSS).
)。</t>
  </si>
  <si>
    <t>https://portal.sina.com.hk/finance/finance-globenewswire/globenewswire/2024/06/12/871313/open-invention-network-expands-patent-protection-for-open-source-software-developers-distributors-and-users/</t>
  </si>
  <si>
    <t>AI &amp; robotics briefing: Tech giants are ‘open-washing’ their AI models</t>
  </si>
  <si>
    <t>並非所有「開源」人工智慧模型實際上都是開放的，此文提供排名
許多為聊天機器人提供支援的大型語言模型聲稱是開放的，但限制對程式碼和訓練資料的存取。</t>
  </si>
  <si>
    <t>付費牆，看不到關鍵 finding</t>
  </si>
  <si>
    <r>
      <rPr>
        <color rgb="FF1155CC"/>
        <sz val="10.0"/>
        <u/>
      </rPr>
      <t>OpenSource.net</t>
    </r>
    <r>
      <rPr>
        <sz val="10.0"/>
      </rPr>
      <t xml:space="preserve"> via HN</t>
    </r>
  </si>
  <si>
    <t>Sustain Open Source, sustain the planet: A new conversation</t>
  </si>
  <si>
    <t>Opensource.net 與 OpenSustain.tech 合作推出的 OSS for Climate podcast，討論開源和永續，旨在彌合開源如何成為氣候行動和永續發展的關鍵驅動力的討論中的差距。
開源與氣候行動之間協同作用，可以結合不同領域之間、不同身份之間協作。</t>
  </si>
  <si>
    <t>https://opensource.net/oss-for-climate-podcast/</t>
  </si>
  <si>
    <t>https://ossforclimate.sustainoss.org/</t>
  </si>
  <si>
    <t>中時新聞網/Yahoo</t>
  </si>
  <si>
    <t>延攬國際人才 賴清德頒發就業金卡會晤優秀持卡人</t>
  </si>
  <si>
    <t>賴清德總統今天上午頒發就業金卡給鄭雯文等人。鄭雯文為美國 Digital Self Labs LLC 創辦人，專業橫跨學術、政府、民間企業和國際組織，具有數位資產、金融科技(DeFi)、區塊鏈、數位身分、開放資料、人工智慧、科技法律等多個專業領域。現於喬治城大學教授金融科技法律與政策，也在 Crypto Council for Innovation（加密創新委員會）領導 Web3 與去中心化技術研究，並起草《有效DeFi 框架的關鍵要素》白皮書，是首個產業發展的監管去中心化金融的框架。</t>
  </si>
  <si>
    <t>https://tw.news.yahoo.com/%E5%BB%B6%E6%94%AC%E5%9C%8B%E9%9A%9B%E4%BA%BA%E6%89%8D-%E8%B3%B4%E6%B8%85%E5%BE%B7%E9%A0%92%E7%99%BC%E5%B0%B1%E6%A5%AD%E9%87%91%E5%8D%A1%E6%9C%83%E6%99%A4%E5%84%AA%E7%A7%80%E6%8C%81%E5%8D%A1%E4%BA%BA-030400667.html</t>
  </si>
  <si>
    <t>可成為就業金卡的開源人才案例</t>
  </si>
  <si>
    <t>青年日報</t>
  </si>
  <si>
    <t>要聞- 2024總統盃黑客松徵件今日啟動聚焦智慧政府永續臺灣 - 青年日報</t>
  </si>
  <si>
    <t>本屆總統盃黑客松的承辦單位、衛福部常務次長周志浩指出，總統盃黑客松歷屆主題皆配合中央施政方針，今年衛福部更進一步加碼開放申請衛福部資料字典，鼓勵參賽團隊能善加利用政府開放資料，提出有價值的提案。</t>
  </si>
  <si>
    <t>https://www.ydn.com.tw/news/newsInsidePage?chapterID=1691340</t>
  </si>
  <si>
    <t>EcoMedia</t>
  </si>
  <si>
    <t>How can ‘openness’ complement climate change?</t>
  </si>
  <si>
    <t>「開放」如何補充氣候變遷？
全球南方和北方的氣候活動人士和開放知識專家已經開始建立夥伴關係，以尋求氣候變遷談判的更多「開放性」。OPEN GOES COP 聯盟包括在聯合國氣候變遷會議 (COP) 背景下倡導開放的組織和個人。開放氣候運動的 Monica Granados 表示，透過文獻計量研究，他們估計只有約 49% 的氣候變遷出版物是公開的。只有現有氣候變遷研究的可用資料才能實現透明度要求。數據是任何開放性的基本要素。「我們希望看到開放資料被討論為實施《巴黎協定》增強版第 13 條的一種方式，並且 COP 各國代表團與其國內的開放資料團隊進行接觸，就如何實施這種合作提出建議，」開放資料憲章的Natalie Carfie 說。</t>
  </si>
  <si>
    <t>https://ecomedia.africa/openness/</t>
  </si>
  <si>
    <t>GlobeNewswire</t>
  </si>
  <si>
    <t>NatureServe Launches Conservation Data Portal for the Western U.S. with Enhanced Map of Biodiversity Importance</t>
  </si>
  <si>
    <t>NatureServe 推出美國西部保護資料門戶，增強生物多樣性重要性地圖
NatureServe 很榮幸地宣布推出美國西部保護資料門戶，這是一個創新資源，旨在支持對廣闊且生態豐富的美國西部的保護資源進行優先排序。該計劃的核心是更新的生物多樣性重要性地圖（MoBI），這是一個確定物種生存必需區域的重要工具，並透過新數據和先進技術得到增強，以更好地支持保育規劃和行動。
更新後的 MoBI 資料集可透過 Esri 的 Living Atlas of the World 和 NatureServe 的開放資料入口網站取得，該入口網站還提供對許多其他保護資料產品的直接存取。</t>
  </si>
  <si>
    <t>https://portal.sina.com.hk/finance/finance-globenewswire/globenewswire/2024/07/09/898214/natureserve-launches-conservation-data-portal-for-the-western-u-s-with-enhanced-map-of-biodiversity-importance/</t>
  </si>
  <si>
    <t>https://www.natureserve.org/map-biodiversity-importance</t>
  </si>
  <si>
    <t>UiB</t>
  </si>
  <si>
    <t>Europe’s Digital Agenda: Is the AI Act the Final Act? In Search of Common Principles</t>
  </si>
  <si>
    <t>國際會議活動：歐洲數位議程：人工智慧法案是最終法案嗎？尋找共同原則
2024.9.6 澳洲法學院。
在過去五年中，歐盟立法機構通過了一系列雄心勃勃的指令和法規，涉及歐洲數位經濟的各個方面：數位單一市場（DSM）指令（2019）、開放資料指令（2019）、資料治理法案( 2022)、數位服務法案(2022)、數位市場法案(2022) 和資料法案(2023)。 《人工智慧法案》即將出台。
此為同類會議中的第一次，旨在尋找歐洲數位議程中的共同原則和學說，並詢問歐盟在數位領域的監管冒險中的下一步（如果有的話）將是什麼。它還將歐洲的數位議程與美國的發展進行比較，並研究歐洲新規則對歐洲 ICT 產業企業（尤其是新創公司）的影響。</t>
  </si>
  <si>
    <t>https://www.uib.no/fg/innovasjonsrett/171030/europe%E2%80%99s-digital-agenda-ai-act-final-act-search-common-principles</t>
  </si>
  <si>
    <t>可能不是會內想要參加的活動</t>
  </si>
  <si>
    <t>Medium/OpenData Charter</t>
  </si>
  <si>
    <t>[Spotlight] Capacity Building for Open Data Professionals</t>
  </si>
  <si>
    <t>開放資料專業人員的能力建設
ODC 實施工作小組 (IWG) 致力於推進開放資料議程並支援開放資料專業人員的能力建設，認識到他們在充分發揮開放資料計畫潛力方面發揮的關鍵作用。在我們的 2024 年行動計畫和議程中，IWG 概述了來年的策略路線圖和目標，其中包括擴大和提高公務員處理資料和數位技術應用的能力。
- 透過教育解決開放資料的關鍵技能差距
-規劃公共管理中的開放資料
- 開放資料專業人員面臨的挑戰
-公共部門的人工智慧和數位能力框架</t>
  </si>
  <si>
    <t>https://medium.com/opendatacharter/spotlight-capacity-building-for-open-data-professionals-a903f07dfbef</t>
  </si>
  <si>
    <t>ODC action plan &amp; agenda 2024</t>
  </si>
  <si>
    <t>可能 pmpc 有幫助</t>
  </si>
  <si>
    <t>opening-up-chatgpt via HN</t>
  </si>
  <si>
    <t>Opening up ChatGPT: tracking openness of instruction-tuned LLMs</t>
  </si>
  <si>
    <t>此文追蹤各種 LLM 專案的開放狀況，以三個面向 (availability 可用性、documentation 文件、access 近用性)，14 項指標來評價 LLM 專案的開放程度。比較表請見此網頁: https://opening-up-chatgpt.github.io/
此比較表格來自論文「重新思考開源生成式 AI：洗「開源」以及歐盟人工智慧法案 (Rethinking Open Source Generative AI: Open-Washing and the EU AI Act)」。論文貢獻包含：
- 審查依賴專有軟體的風險
- 審查開放、透明和負責任的「人工智慧」的最佳實踐
- 發現了 40 多個 ChatGPT 替代方案，其開放性、開發和文件程度各不相同
- 論文作者提出建議：讓開放性成為關鍵資訊素養。</t>
  </si>
  <si>
    <t>https://opening-up-chatgpt.github.io/</t>
  </si>
  <si>
    <t>https://pure.mpg.de/pubman/item/item_3588217_2/component/file_3588218/liesenfeld_dingemanse_2024_FAccT_generative_AI_open-washing_EU_AI_Act.pdf</t>
  </si>
  <si>
    <t>AXIOS</t>
  </si>
  <si>
    <t>IRS opening free online tax filing program to all states</t>
  </si>
  <si>
    <t>美國財政部週四宣布，國稅局的直接報稅計劃（免費的線上報稅計劃）將在 2025 年報稅季永久生效，並邀請所有 50 個州和華盛頓特區參與。
為所有希望直接向國稅局申報的美國人提供免費工具是實現這些目標的關鍵。
試點計畫針對的是基於 W-2 表格進行簡單報稅的人群。
自由公平報稅聯盟表示：「直接報稅試點證明，政府完全有能力提供免費的公共電子報稅服務，從而節省納稅人的時間、金錢和麻煩。」</t>
  </si>
  <si>
    <t>https://www.axios.com/2024/05/30/irs-taxes-direct-file-free-program</t>
  </si>
  <si>
    <t>Wiley online Library</t>
  </si>
  <si>
    <t>Open government, civic tech and digital platforms in Latin America: A governance study of Montevideo's urban app ‘Por Mi Barrio’</t>
  </si>
  <si>
    <t>《資訊系統期刊》第 34 卷，第 4 期研究文章
拉丁美洲的開放政府、公民技術和數位平台：蒙得維的亞城市應用程式「Por Mi Barrio」的治理研究
此研究借鑒了數位政府和發展平台的資訊系統研究，輔以政治學的治理理論，並對蒙得維的亞的一個名為「Por Mi Barrio」的城市報告平台進行了解釋性深入案例研究。該研究揭示了專案軌跡中三個相互強化的治理順序，並解釋了合作如何隨著時間的推移而展開：（i）使用開放平台架構的技術決策； (ii) 就正式和非正式規則進行談判，以使計畫蓬勃發展；(iii) 基於多年政治歷史，圍繞開放技術和技術主權的價值形成共同的長期意識形態。我們的研究採用情境解釋方法，有助於提高我們對拉丁美洲協作數位政府平台治理的理解，並對實踐做出了具體貢獻。</t>
  </si>
  <si>
    <t>https://onlinelibrary.wiley.com/doi/full/10.1111/isj.12468</t>
  </si>
  <si>
    <t>20240710 endpoint</t>
  </si>
  <si>
    <t>2024 Aug 9</t>
  </si>
  <si>
    <r>
      <rPr>
        <color rgb="FF1155CC"/>
        <sz val="10.0"/>
        <u/>
      </rPr>
      <t>Linux.cn</t>
    </r>
    <r>
      <rPr>
        <sz val="10.0"/>
      </rPr>
      <t xml:space="preserve"> via HN</t>
    </r>
  </si>
  <si>
    <t xml:space="preserve">“Linux 中国” 开源社区，停止运营 </t>
  </si>
  <si>
    <t>“Linux 中国” 开源社区 主持人 硬核老王 宣佈結束營運
主因是個人營運社群太過疲備、收入無法支撐個人生活。
持續最久的專案 LCTT 翻譯數千篇文章，也因科技進步和 ChatGPT 面世等因素，翻譯需求降底，進入半休眠狀態。
停止營運後數週，主持人釋出其「Linux 中國開源文章數據集」</t>
  </si>
  <si>
    <t>https://linux.cn/article-16602-1.html</t>
  </si>
  <si>
    <t>https://linux.cn/article-16603-1.html</t>
  </si>
  <si>
    <t>TechCrunch</t>
  </si>
  <si>
    <t>SUSE wants a piece of the AI cake, too</t>
  </si>
  <si>
    <t>SUSE 也希望 AI 能夠為其進入美國市場提供新的入口——以及其最近的舉措更直接地挑戰其競爭對手。該公司週二宣布了其 AI 策略和 SUSE AI 解決方案，這是一個新的供應商 LLM-不可知的生成人工智慧平台。
到目前為止，市場上還沒有一個開源解決方案可以讓企業自由地運行這些LLMs在他們自己的雲端或虛擬私有雲中 - 結合他們所需的存取控制和安全解決方案。
該公司認為使用者必須能夠自由地部署自己選擇的模型，也許可以使用檢索增強生成技術使用公司自己的資料進行微調或增強。但與此同時，該行業發展如此之快，以至於許多用戶也不想將自己鎖定在某個可能處於或可能不處於未來前沿的供應商中。</t>
  </si>
  <si>
    <t>https://techcrunch.com/2024/06/18/suse-wants-a-piece-of-the-ai-cake-too/</t>
  </si>
  <si>
    <r>
      <rPr>
        <color rgb="FF1155CC"/>
        <sz val="10.0"/>
        <u/>
      </rPr>
      <t>OpenSource.net</t>
    </r>
    <r>
      <rPr>
        <sz val="10.0"/>
      </rPr>
      <t xml:space="preserve"> via HN</t>
    </r>
  </si>
  <si>
    <t>What I’ve learned about Open Source community over 30 years</t>
  </si>
  <si>
    <t>FreeDOS Project 社群30 年來對開源社群的了解
「FreeDOS 計畫」社群自1994 年 6 月開始，當年微軟因開發 windows 3.1 而停止 DOS　版本更新，此社群開始自己開發 FreeDOS。社群 PM 在這 30 年間學到 7 個經驗：
- 開放溝通,接納新想法,促進社群發展。
- 認可貢獻者,舉辦活動,保持社群參與度。
- 建立並定期更新專案網站,提供資訊和展示功能。
- 利用多種渠道分享專案新聞,提高知名度。
- 維護官方討論渠道,保持暢通的溝通管道。
- 制定並公布行為準則,確保社群互動的尊重性。
- 選擇適當的開源授權,確保程式碼可自由使用和分享。</t>
  </si>
  <si>
    <t>https://opensource.net/lessons-learned-open-source-30-years-freedos/</t>
  </si>
  <si>
    <t>經理人月刊</t>
  </si>
  <si>
    <t>AI生成的內容可以商用嗎？企業該如何避免侵權？關鍵就在「使用條款」裡</t>
  </si>
  <si>
    <t>此文將從 AI 工具的使用條款切入，從對於用戶的規範探討 AI 生成內容的歸屬、使用的權利、現階段的法律風險，以及企業如何在發生爭議時能最大限度維護自身權益。
從使用條款觀察 AI 生成內容的權利歸屬
法律跟不上科技演進帶來的潛藏風險
用戶生成內容可能被用來訓練 AI、或直接被公開的風險</t>
  </si>
  <si>
    <t>https://www.bnext.com.tw/article/79659/how-to-protect-own-rights-when-using-generative-ai</t>
  </si>
  <si>
    <t>打通機器人的大腦、眼睛與神經！新漢集團董事長林茂昌：「只要有開放標準，台灣人就有本事做到最好、最大、最強</t>
  </si>
  <si>
    <r>
      <rPr>
        <rFont val="Arial"/>
        <color theme="1"/>
        <sz val="10.0"/>
      </rPr>
      <t>新漢</t>
    </r>
    <r>
      <rPr>
        <rFont val="Arial"/>
        <b/>
        <color theme="1"/>
        <sz val="10.0"/>
      </rPr>
      <t>透過開放標準控制器促成一個完全相容的機器人與智慧機械產業</t>
    </r>
    <r>
      <rPr>
        <rFont val="Arial"/>
        <color theme="1"/>
        <sz val="10.0"/>
      </rPr>
      <t>，以及未來的願景與佈局。</t>
    </r>
    <r>
      <rPr>
        <rFont val="Arial"/>
        <b/>
        <color theme="1"/>
        <sz val="10.0"/>
      </rPr>
      <t>全世界首家利用 X86 開放標準控制器打造協作型安全機器人的公司。</t>
    </r>
    <r>
      <rPr>
        <rFont val="Arial"/>
        <color theme="1"/>
        <sz val="10.0"/>
      </rPr>
      <t>「如果機器人跟智慧機械走向開放標準，那麼台灣就可以掌握整個智慧機械的技術架構，因為我們就差這個大腦，大腦拿到之後，我們整個智慧機械就動起來了」林茂昌說。「開放標準不需要台灣人來訂，但是有開放標準，台灣人就有本事做到最好、最大、最強，」林茂昌舉例，在具有開放標準的 PC 與手機領域，台灣企業都撐起全球市場的一片天。儘管相關產業的供應鏈逐漸往中國移動，但 AI 的爆發開始賦予台灣嶄新的機會。</t>
    </r>
  </si>
  <si>
    <t>https://buzzorange.com/techorange/2024/07/04/nexcom-aiot-podcast/</t>
  </si>
  <si>
    <t>Amos：想到上週在講 Risc-V 應該做標準，這樣大家都可以進來運用，並且達到互通。</t>
  </si>
  <si>
    <t>Creative Commons</t>
  </si>
  <si>
    <t>Moving Institutions Toward Open—Building on 6 Years of the Open GLAM Survey</t>
  </si>
  <si>
    <t>推動機構走向開放－以 6 年 Open GLAM 調查為基礎
Open GLAM （galleries, libraries, archives and museums 畫廊、圖書館、檔案館和博物館）調查全面概述了文化機構和組織的開放取用政策和實踐情況，即文化組織允許免費重複使用其數位化公共領域藏品的情況。為版權和遺產領域的研究人員、政策制定者和從業者提供了重要指南。
此調查涵蓋了來自 55 個國家的超過 1687 個文化機構和組織，重點關注其網站或外部平台上提供的開放館藏。它提供了近 1 億個公共領域和公開許可的數位代理商的直接連結。多年來，調查的範圍和複雜性不斷擴大，記錄了一系列數據點，包括機構類型、地理位置、權利聲明、API、使用條款、開放資料量等等。它也被全面記錄在維基數據中。
鑑於 GLAM 要求獲得公共領域作品的數位替代品新版權的做法多種多樣，Douglas 和 Andrea 審查了所有條目，以確保其政策符合「開放」的國際標準。該調查以開放知識基金會的開放定義及其聲明為指導</t>
  </si>
  <si>
    <t>https://creativecommons.org/2024/06/26/moving-institutions-toward-open-building-on-6-years-of-the-open-glam-survey/</t>
  </si>
  <si>
    <t>https://www.glamelab.org/</t>
  </si>
  <si>
    <t>7家AI資料集供應商成立聯盟，推動符合著作權法的AI模型開發標準</t>
  </si>
  <si>
    <r>
      <rPr>
        <rFont val="Arial"/>
        <color theme="1"/>
        <sz val="10.0"/>
      </rPr>
      <t>7家涉及音樂、聲音、影像、文字與技術的AI資料集供應商，在 6/26同宣布成立</t>
    </r>
    <r>
      <rPr>
        <rFont val="Arial"/>
        <b/>
        <color theme="1"/>
        <sz val="10.0"/>
      </rPr>
      <t>資料集供應商聯盟（Dataset Providers Alliance ，DPA）</t>
    </r>
    <r>
      <rPr>
        <rFont val="Arial"/>
        <color theme="1"/>
        <sz val="10.0"/>
      </rPr>
      <t>，將致力於推動 AI與機器學習（ML）資料集之智慧財產權的負責任與合乎道德的授權活動，以於快速發展的AI及ML領域中宣導內容創作者的權利。
DPA是要建立訓練AI模型所使用資料的合法授權的透明度及標準化，並準備在今年7月發表一份有關資料集授權標準的白皮書，讓DPA成為資料集供應商的代言人，並讓開發者得以存取大量高品質的AI訓練內容。
相較於金融時報、華爾街日報、紐約時報、美國唱片業協會（RIAA）或Reddit等知名組織直接與AI業者簽署協議，DPA的創始成員多半為新創，採用聯盟型態或許可取得更好的談判籌碼。</t>
    </r>
  </si>
  <si>
    <t>https://www.ithome.com.tw/news/163679</t>
  </si>
  <si>
    <t>OpenDataCharter</t>
  </si>
  <si>
    <t>公共資訊取得、開放資料和個人資料保護：它們如何相互對話？</t>
  </si>
  <si>
    <t>開放資料憲章和公民指南針（Civic Compass）發布研究報告：歐盟和拉丁美洲的資料保護政策以及有關開放政府資料和公共資訊取得的舉措。
該報告分析了歐盟與拉丁美洲各四個國家的監管環境、國際排名和每項權利的承諾。此外，也探討這些機構如何相互影響，考慮各自的立場，同時深入研究現有的緊張局勢並探索實現平衡方法的可能性。報告全文連結：https://drive.google.com/file/d/1Dohl-_uThVOQphjmtteA_K0DFjVV9sKs/view</t>
  </si>
  <si>
    <t>https://opendatacharter.org/resources/access-to-public-information-open-data-and-personal-data-protection-how-do-they-dialogue-with-each-other/</t>
  </si>
  <si>
    <t>https://drive.google.com/file/d/1Dohl-_uThVOQphjmtteA_K0DFjVV9sKs/view</t>
  </si>
  <si>
    <t>data right</t>
  </si>
  <si>
    <t>Open Data Charter</t>
  </si>
  <si>
    <t>[Spotlight] Exploring the Data Ecosystem and Data Governance in Smart Cities</t>
  </si>
  <si>
    <t>【聚焦】探索智慧城市的資料生態與資料治理
開放資料憲章五月的實施工作小組 (Implementation Working Group, IWG) 小組會議中，支持資料治理和城市級資料生態系統。邀請三位參與智慧城市和資料計畫的傑出專業人士，討論在城市層面領導負責任和可持續的數據生態系統和治理的方法。從聯合國人居署、義大利 BeOpen 計畫以及美國波特蘭市實踐智慧城市與開放資料方式，ODC 認為應對這些挑戰需要採取多方面的方法，包括制定可互通的標準、促進利益相關者協作、投資先進的資料管理技術以及創建清晰、透明和適應性強的資料治理框架。</t>
  </si>
  <si>
    <t>https://medium.com/opendatacharter/spotlight-exploring-the-data-ecosystem-and-data-governance-in-smart-cities-1173bceb450a</t>
  </si>
  <si>
    <t>臺灣繁中LLM另一里程碑！Project TAME以5,000億個Token訓練而成並開源釋出</t>
  </si>
  <si>
    <t>一款強大的繁中大型語言模型Project TAME開源釋出，由長春集團、和碩聯合科技、長庚醫院、欣興電子、科技報橘、專攻法律AI的律果科技與臺大資工系、臺大資管系聯手打造，以Llama-3 70B模型為基礎，由5,000億個Token訓練而成，具備石化、電子製造、醫療、媒體內容和法律等在地專業知識。Project TAME目前於GitHub上開源，團隊希望藉此拋磚引玉、吸引更多產業夥伴加入，來形塑臺灣產業專用AI應用生態系。</t>
  </si>
  <si>
    <t>https://www.ithome.com.tw/news/163730</t>
  </si>
  <si>
    <t>https://twllm.com/?source=post_page-----1b249b88ab67--------------------------------</t>
  </si>
  <si>
    <t>Robin Berjon via HN</t>
  </si>
  <si>
    <t>The Public Interest Internet, by Robin Berjon</t>
  </si>
  <si>
    <t>如果我們有機會塑造一個自由的互聯網，我們需要為我們想要的做好準備。我們正在修復什麼？
科技巨頭掌握數位基礎設施。如何改進內容審核機制，並確保持續改進，或者是置入廣告的搜尋結果，還有社群網路免費使用其平台內容進行商業活動。在目前的機制中，沒有反制作法。
文章探討公共利益的基礎設施有哪些，現在遇到的問題及案例（廣告插入、數位商品的惡性循環）、相關標準的制定狀況、全球數位架構的要素，最後提出「數位領域：行星共享空間」（The Digital Sphere: A Planetary Commons）的概念</t>
  </si>
  <si>
    <t>https://berjon.com/public-interest-internet/</t>
  </si>
  <si>
    <t>不確定算是 internet freedom 還是 open government</t>
  </si>
  <si>
    <t>Privacy app maker Proton transitions to nonprofit foundation structure</t>
  </si>
  <si>
    <r>
      <rPr>
        <rFont val="Arial"/>
        <color theme="1"/>
        <sz val="10.0"/>
      </rPr>
      <t xml:space="preserve">隱私應用程式製造商 Proton 過渡到非營利基金會結構
Proton 是一家瑞士公司，開發了ProtonMail 等一系列注重隱私的應用程序，該公司正在追隨 Signal 和 Mozilla 的腳步，過渡到新的非營利基金會模式。新成立的基金會任命 Tim Berners-Lee 爵士為董事會成員。
</t>
    </r>
    <r>
      <rPr>
        <rFont val="Arial"/>
        <b/>
        <color theme="1"/>
        <sz val="10.0"/>
      </rPr>
      <t>基金會將作為現有公司實體 Proton AG 的主要股東</t>
    </r>
    <r>
      <rPr>
        <rFont val="Arial"/>
        <color theme="1"/>
        <sz val="10.0"/>
      </rPr>
      <t>，Proton AG 將在基金會的支持下繼續作為一家營利性公司。執行長Andy Yen表示，這樣做的目的是使組織能夠自我維持，而不必依賴捐贈、贈款或與企業的商業合作。</t>
    </r>
  </si>
  <si>
    <t>https://techcrunch.com/2024/06/17/privacy-app-maker-proton-transitions-to-non-profit-foundation-structure/</t>
  </si>
  <si>
    <t>Meta pauses plans to train AI using European users’ data, bowing to regulatory pressure</t>
  </si>
  <si>
    <t>Meta 已確認將暫停使用歐盟和英國用戶資料開始訓練人工智慧系統的計劃
歐洲嚴格的 GDPR 法規限制了 Meta 和其他公司運用其素材訓練 LLM。
非營利隱私活動組織NOYB （「不關你的事」）向歐盟成員國提出 11 項投訴，認為 Meta 違反了 GDPR 的各個面向。其中之一涉及選擇加入與選擇退出的問題，相對於確實發生個人資料處理的情況，應先徵求使用者的許可，而不是要求採取行動拒絕。
目前看來讓用戶得以選擇退出仍是因難重重。</t>
  </si>
  <si>
    <t>https://techcrunch.com/2024/06/14/meta-pauses-plans-to-train-ai-using-european-users-data-bowing-to-regulatory-pressure/</t>
  </si>
  <si>
    <t>不知道算不數 digital right ，還是 open government</t>
  </si>
  <si>
    <t>2024 Aug 14</t>
  </si>
  <si>
    <t>Blog via HN</t>
  </si>
  <si>
    <t>Open source is neither a community nor a democracy</t>
  </si>
  <si>
    <t>開源既不是社群也不是民主
使用開源軟體並不意味著您有權對專案的方向進行投票。
使用者得到饋贈，是軟體本身以及授權賦予的使用自由。
會讓人誤解使用者可以在開源專案實現民主決策，筆者認為問題源自於「社群」（Community)這個詞。社群具有的含義，參與者在某種程度上平等地參與促進團體福利所需的工作。但這並不是大多數開源專案的運作方式。專案通常由一小群核心貢獻者運營，他們負責推進專案、審查修補程式並維護願景的完整性。勞動分工根本談不上平等。專案幾乎都是精英主導。</t>
  </si>
  <si>
    <t>https://world.hey.com/dhh/open-source-is-neither-a-community-nor-a-democracy-606abdab</t>
  </si>
  <si>
    <t>開源意義</t>
  </si>
  <si>
    <t>ZDNET</t>
  </si>
  <si>
    <t>How open source attracts some of the world's top innovators</t>
  </si>
  <si>
    <t>本週在紐約舉行的聯合國開源專案辦公室 (OSPO) for Good 會議上，一些開源高層領導人探討開源人士與他們接觸開源歷程、以及對開源未來的看法。除了展示潛在的企業職業之外，這次聯合國會議展示的關鍵點之一是開源可以服務公共利益。
在美國認為開源是指高階基礎設施（例如雲端）或最終用戶設備（例如 Android 手機和 Linux 桌面）並且為這項技術支付了大量資金。對於南半球國家來說，開源是解決重大生活問題的廉價方式，包括追蹤飲用水供應、應對潛在危險害蟲的傳播以及分析氣候變遷日益增加的危險。</t>
  </si>
  <si>
    <t>https://www.zdnet.com/article/how-open-source-attracts-some-of-the-worlds-top-innovators/#ftag=RSSbaffb68</t>
  </si>
  <si>
    <t>開源專案辦公室、企業、公共利益</t>
  </si>
  <si>
    <r>
      <rPr/>
      <t>引用文章內的統計數字：＂開源有多大意義？根據</t>
    </r>
    <r>
      <rPr>
        <color rgb="FF000000"/>
      </rPr>
      <t>哈佛商學院</t>
    </r>
    <r>
      <rPr/>
      <t>2024 年 1 月的一項研究，如果公司必須開發同等技術</t>
    </r>
    <r>
      <rPr>
        <color rgb="FF000000"/>
      </rPr>
      <t>，重建開源軟體 (OSS) 將花費 8.8 兆美元</t>
    </r>
    <r>
      <rPr/>
      <t>。其中，“96% 的需求方價值是由 5% 的 OSS 開發人員創造的。”</t>
    </r>
  </si>
  <si>
    <t>HuggingFace via HN</t>
  </si>
  <si>
    <t>Performances are plateauing, let's make the leaderboard steep again</t>
  </si>
  <si>
    <t>開放 LLM 排行榜 V.2
HuggingFace 的 RLHF 團隊持續維護的 LLM 排行榜。依據社群每月 30 萬成員回應而得出評價。
可尋找最先進的開源版本。</t>
  </si>
  <si>
    <t>https://huggingface.co/spaces/open-llm-leaderboard/blog</t>
  </si>
  <si>
    <t>https://huggingface.co/open-llm-leaderboard</t>
  </si>
  <si>
    <t>LLM 排名</t>
  </si>
  <si>
    <t>案例</t>
  </si>
  <si>
    <t>pketh via HN</t>
  </si>
  <si>
    <t>Making the Kinopio Source Code Public</t>
  </si>
  <si>
    <t>作者決定將商業軟體 kinopio 在五週年前夕，公開kinopio-client應用程式的程式碼。
文章提出作者決定開源專有軟體時的心理感覺和預期帶來的負擔。</t>
  </si>
  <si>
    <t>https://pketh.org/open-sourcing-kinopio.html</t>
  </si>
  <si>
    <t>開源商業模式</t>
  </si>
  <si>
    <t>Amos：可以用來作為案例。新增 類別：案例</t>
  </si>
  <si>
    <t>ZDNET via HN</t>
  </si>
  <si>
    <t xml:space="preserve">SUSE upgrades its distros with 19 years of support - no other Linux comes close </t>
  </si>
  <si>
    <t>SUSE在企業Linux市場上擁有最長的支援期。即使是 Ubuntu（Canonical 最近將其 LTS 延長至 12 年）也未能與之相提並論。
此次升級更新了核心和加密技術。</t>
  </si>
  <si>
    <t>https://www.zdnet.com/article/suse-upgrades-its-distros-with-19-years-of-support-no-other-linux-comes-close/</t>
  </si>
  <si>
    <t>SUSE</t>
  </si>
  <si>
    <t>Visual Studio Magazine via HN</t>
  </si>
  <si>
    <t>Open Source 'Eclipse Theia IDE' Exits Beta to Challenge Visual Studio Code</t>
  </si>
  <si>
    <t>約七年的製作，Eclipse 基金會的 Theia IDE 專案完成測試並推出大致可用的版本，挑戰類似微軟 Visual Studio Code 編輯器。
Eclipse Theia IDE是Eclipse Cloud DevTools 生態系統的一部分，與 VS Code 的主要區別在於授權和生態系管理。 
Eclipse Foundation 稱其為 VS Code 的“真正的開源替代品”，因為微軟將 VS Code描述為“構建”在開源之上，但具有專有元素，例如用於收集使用數據的預設遙控技術。</t>
  </si>
  <si>
    <t>https://visualstudiomagazine.com/Articles/2024/06/27/eclipse-theia-ide.aspx</t>
  </si>
  <si>
    <t>zulip</t>
  </si>
  <si>
    <t>Zulip: Open Source Organized Team Chat</t>
  </si>
  <si>
    <t>類 slack / mattermost 的組織通訊軟體，自稱比 slack 好用</t>
  </si>
  <si>
    <t>https://zulip.com/</t>
  </si>
  <si>
    <t>Amos：像這些開源替代軟體，可以蒐進來嗎？個人覺得有累積資料庫的價值，甚至可以開一個新的分類</t>
  </si>
  <si>
    <t>The Open Source Initiative joins CMU in launching Open Forum for AI: A human-centered approach to AI development</t>
  </si>
  <si>
    <r>
      <rPr>
        <rFont val="Arial"/>
        <b/>
        <color theme="1"/>
        <sz val="10.0"/>
      </rPr>
      <t xml:space="preserve">開源倡議 (OSI) </t>
    </r>
    <r>
      <rPr>
        <rFont val="Arial"/>
        <color theme="1"/>
        <sz val="10.0"/>
      </rPr>
      <t>與卡內基美隆大學共同發起</t>
    </r>
    <r>
      <rPr>
        <rFont val="Arial"/>
        <b/>
        <color theme="1"/>
        <sz val="10.0"/>
      </rPr>
      <t>人工智慧開放論壇(OFAI)</t>
    </r>
    <r>
      <rPr>
        <rFont val="Arial"/>
        <color theme="1"/>
        <sz val="10.0"/>
      </rPr>
      <t>：以人為本的人工智慧開發方法
OSI 將於 10 月在All Things Open上發布</t>
    </r>
    <r>
      <rPr>
        <rFont val="Arial"/>
        <b/>
        <color theme="1"/>
        <sz val="10.0"/>
      </rPr>
      <t>穩定版本的開源AI 定義</t>
    </r>
    <r>
      <rPr>
        <rFont val="Arial"/>
        <color theme="1"/>
        <sz val="10.0"/>
      </rPr>
      <t>，OFAI 的推出凸顯了這項工作的重要性，即匯集不同的利益相關者，以確保AI 技術符合社會價值觀和公共利益。 人工智慧開放論壇 (OFAI) 由卡內基梅隆大學 (CMU) 設計，旨在促進以人為本的人工智慧方法。
OSI 的 Stefano Mafulli 和 Deb Bryant 將參與 OFAI 的創始團隊，透過涉及開源社群、產業和學術界的利害關係人以及他們對公共政策的貢獻的協作流程，整合他們對標準開源 AI 定義的努力。</t>
    </r>
  </si>
  <si>
    <t>https://opensource.org/blog/the-open-source-initiative-joins-cmu-in-launching-open-forum-for-ai-a-human-centered-approach-to-ai-development</t>
  </si>
  <si>
    <t>開源AI</t>
  </si>
  <si>
    <t>駭客公開1,500 萬名Trello用戶個資</t>
  </si>
  <si>
    <t>專案管理工具Trello逾1,500萬名使用者個資被免費公開於地下論壇，提供這批資料的駭客宣稱利用了Trello一個開放的API端點</t>
  </si>
  <si>
    <t>https://www.ithome.com.tw/news/163971</t>
  </si>
  <si>
    <t>開源漏洞</t>
  </si>
  <si>
    <t>Mashadigi:Yahoo,cool3c:tnlmediagene</t>
  </si>
  <si>
    <t>蘋果釋出兩組小規模開源人工智慧模型，超越Mistral、直追Meta與Google推出同級產品</t>
  </si>
  <si>
    <r>
      <rPr>
        <rFont val="Arial"/>
        <color theme="1"/>
        <sz val="10.0"/>
      </rPr>
      <t>蘋果釋出兩組小規模開源人工智慧模型，分別對應 69 億組及 14 億組參數，強調能與 Mistral、Llama 3、Gemma 等競爭對手抗衡。均隸屬於「DCLM」 (DataComp for Language Models)發展計畫。
該計畫以</t>
    </r>
    <r>
      <rPr>
        <rFont val="Arial"/>
        <b/>
        <color theme="1"/>
        <sz val="10.0"/>
      </rPr>
      <t>開源形式</t>
    </r>
    <r>
      <rPr>
        <rFont val="Arial"/>
        <color theme="1"/>
        <sz val="10.0"/>
      </rPr>
      <t>與業界研究人員合作，目前合作對象包含華盛頓大學、特拉維夫大學與Toyota研究中心，但目前在「DCLM」計畫研究項目並不會用於蘋果市售產品，避免引發不必要的爭議，目前作為研究為主。</t>
    </r>
  </si>
  <si>
    <t>https://tw.news.yahoo.com/apple-releases-two-sets-of-small-scale-open-source-artificial-intelligence-models-surpassing-mistral-and-catching-up-with-meta-and-google-to-launch-similar-products-140435233.html
https://www.cool3c.com/article/220781</t>
  </si>
  <si>
    <t>NASA via HN</t>
  </si>
  <si>
    <t xml:space="preserve">Mapping the Red Planet With the Power of Open Science </t>
  </si>
  <si>
    <t>借助開放科技的力量繪製火星地圖
為了實現火星的全尺寸測繪，此計畫創建了多任務地理資訊系統 (MMGIS)，一個線上開源測繪平台。該軟體的線上展示預先載了從軌道拍攝的火星圖像，展示毅力號、獨創號和好奇號火星車的路徑，
軟體的開放性是任務成功的關鍵。卡萊夫說：“我們的工作人員遍布世界各地，我們需要能夠讓他們快速存取軟體和資料。”
團隊希望他們的軟體能夠幫助其他研究人員輕鬆視覺化他們的資料，而無需自己成為資料視覺化專家。由於這種開源方法，其他團隊現在已經使用 MMGIS 來繪製地球和其他行星體的地圖。</t>
  </si>
  <si>
    <t>https://www.jpl.nasa.gov/news/mapping-the-red-planet-with-the-power-of-open-science</t>
  </si>
  <si>
    <t>火星地圖、開源軟體</t>
  </si>
  <si>
    <t>Amos：包含了 open source 和 open data 的運用。NASA 的資料都是開放的，有很多 best practice。可多關注</t>
  </si>
  <si>
    <t>The verge</t>
  </si>
  <si>
    <t>Microsoft’s AI boss thinks it’s perfectly okay to steal content if it’s on the open web</t>
  </si>
  <si>
    <t>微軟人工智慧老闆認為竊取開放網路上的內容是完全可以的
微軟人工智慧老闆 Mustafa Suleyman 錯誤地認為，一旦你在開放網路上發布任何東西，它就變成了任何人都可以自由複製和使用的「免費軟體」。
合理使用並不是由「社會契約」授予的——而是由法院授予的。這是一種法律辯護，一旦法院權衡您複製的內容、原因、複製數量以及是否會損害版權所有者，就允許對受版權保護的資料進行某些使用。</t>
  </si>
  <si>
    <t>https://www.theverge.com/2024/6/28/24188391/microsoft-ai-suleyman-social-contract-freeware</t>
  </si>
  <si>
    <t>免費軟體、合理使用</t>
  </si>
  <si>
    <t>Amos：反教材代表，把開源的定義硬套到智慧財保護的地方</t>
  </si>
  <si>
    <t>經濟日報</t>
  </si>
  <si>
    <t>商業興觀點／鏈結開放資料 創造新價值</t>
  </si>
  <si>
    <t>此文提出 AI 時代，機器人能夠自行上網搜集各種商業資訊，為了方便政府與民間應用開放資料（Open Data），許多國家開始以資源描述框架（Resource Description Framework，簡稱RDF）為基礎，將政府與民間部門所開放的資料以鏈結開放資料（Linked Open Data，簡稱LOD）格式串接。
此文舉英國、歐盟、愛爾蘭、日本的LOD為例，呼籲台灣也應該效法日本國際趨勢，積極推動鏈結資料的產業應用，創造資料新價值，打破數據孤島。</t>
  </si>
  <si>
    <t>https://money.udn.com/money/story/122331/8112090</t>
  </si>
  <si>
    <t>鏈結開放資料（Linked Open Data，簡稱LOD），國際案例</t>
  </si>
  <si>
    <t>iThome, TechOrange</t>
  </si>
  <si>
    <t>國科會預告我國AI基本法草案，揭露隱私保護、資料安全、透明可解釋及問責等7大原則</t>
  </si>
  <si>
    <t>台灣國科會預告「人工智慧（AI）基本法」草案。草案共有 18 則條文，國科會今天發布人工智慧基本法草案，該草案揭露我國AI發展及應用的 7 項基本原則，包括人權、隱私保護、問責、透明可解釋等等，以及政府在人才、風險管理、權益及資料治理、法規調適等4項推動重點。
草案預告 60 天至 9/13 蒐集各界意見。</t>
  </si>
  <si>
    <t>https://www.ithome.com.tw/news/163935
https://buzzorange.com/techorange/2024/07/16/taiwan-ai-act-2024/</t>
  </si>
  <si>
    <t>台灣AI 基本法</t>
  </si>
  <si>
    <t>2024 Aug 21</t>
  </si>
  <si>
    <t>DELANO</t>
  </si>
  <si>
    <t>GDPR certifications: non-compliance is no longer an option</t>
  </si>
  <si>
    <t>GDPR 認證：不合規不再是一種選擇
盧森堡會計師事務所 Grant Thornton Luxembourg 在此文中說明:不對資料處理活動進行認證的風險，並介紹 GDPR 認證是展示有效的資料治理架構的有效工具，可確保部署最佳的隱私權保護方法。他們還透過獨立檢查確保公司履行了資訊義務，並且資料主體對其資料擁有控制權。是具有深遠影響的問責工具。
此文建議企業採用被歐洲資料保護委員會（EU Seal）或國家資料保護機構（國家 GDPR 認證）認可並正式採用的（認證）。前者如 Europrivacy 已獲得 EDPB 批准作為歐洲資料保護印章。這使其成為迄今為止唯一獲得所有歐盟成員國正式認可的 GDPR 認證。它基於 ISO 27001 標準。後者如GDPR-CARPA，是一項國家計劃，是由盧森堡資料保護局製定的認證，該認證只能由CNPD批准的法定審計師授予。它基於 ISAE 3000 保證報告要求。</t>
  </si>
  <si>
    <t>https://delano.lu/article/gdpr-certifications-non-compli-2</t>
  </si>
  <si>
    <t>GDPR、認證</t>
  </si>
  <si>
    <t>Open Knowledge Foundation</t>
  </si>
  <si>
    <t>The European Union must keep funding free software</t>
  </si>
  <si>
    <t>開放知識基金會 (OKF) 呼籲歐盟委員會持續 Next Generation Internet (NGI) programmes，使用級聯資助機制為歐洲的自由軟體提供資金（例如 NLnet 的呼籲）。
OKF 指出，技術創新通常源自歐洲而不是北美程式設計社群，並且大多是由小規模組織發起的。
NGI 過去5年資助超過500個計畫，已被證明可以高效且經濟地支援整個自由軟體時。這種生態系統的多樣性支持了歐洲技術創新的力量，使我們能夠將資料保留在本地，並有利於社區範圍內的經濟和專業知識，同時允許國際合作。相對於美國、中國或俄羅斯，這是加強歐洲基礎設施主權的關鍵。</t>
  </si>
  <si>
    <t>https://blog.okfn.org/2024/07/16/the-european-union-must-keep-funding-free-software/</t>
  </si>
  <si>
    <t>歐盟、NGI、社群、資料主權</t>
  </si>
  <si>
    <t>iTHOME</t>
  </si>
  <si>
    <t>微軟、Nvidia、英特爾及Google共創安全AI聯盟CoSAI</t>
  </si>
  <si>
    <t>專門推動全球結構化資訊標準的非營利組織 OASIS Open 發表了安全 AI 聯盟（Coalition for Secure AI，CoSAI），這是一個開源倡議，計畫建立一個協作生態體系，以分享與 AI 安全設計有關的方法、標準化框架及工具。其主要贊助者為Google、IBM、Intel、Microsoft、Nvidia 與 PayPal，其它贊助者還包括 Amazon、Anthropic、思科、Chainguard、Cohere、GenLab、OpenAI及Wiz。</t>
  </si>
  <si>
    <t>https://www.ithome.com.tw/news/164032</t>
  </si>
  <si>
    <t>非營利組織、AI 安全</t>
  </si>
  <si>
    <t>Open Source Initiative</t>
  </si>
  <si>
    <t>Cailean Osborne: voices of the Open Source AI Definition</t>
  </si>
  <si>
    <r>
      <rPr>
        <sz val="10.0"/>
      </rPr>
      <t>開源倡議 (OSI) 正在運行一個部落格系列，以介紹一些積極參與開源人工智慧定義(OSAID) 協同設計流程的人員。此文專訪Cailean Osborne開源人工智慧專家，他分享:  
1. 開源 與 開源人工智慧的定義有很大落差以及其緣由。推薦</t>
    </r>
    <r>
      <rPr>
        <color rgb="FF1155CC"/>
        <sz val="10.0"/>
        <u/>
      </rPr>
      <t xml:space="preserve"> v.0.0.8 版本的定義</t>
    </r>
    <r>
      <rPr>
        <sz val="10.0"/>
      </rPr>
      <t>，認為他是一個合理的折衷方案，兼顧開源需要以及許多不願開源需求，它規定模型開發人員如果無法發布訓練資料集本身，則應該提供有關資料的足夠詳細的資訊。
2. 開源AI 社群的下一步驟</t>
    </r>
  </si>
  <si>
    <t>https://opensource.org/blog/cailean-osborne-voices-of-the-open-source-ai-definition</t>
  </si>
  <si>
    <t>開源 AI 定義</t>
  </si>
  <si>
    <t>Case Study: Implementing the OpenChain Specification @ endjin</t>
  </si>
  <si>
    <t>Linux 基金會 OpenChain Project 一年實習生在此文中整理如何完成這些 OpenChain 的生命流程- 從構思和設想，到規劃、實施、測試、部署、推出和維護，以確保我們符合開源授權條款，從而滿足規範OpenChain專案的一部分。從發現什麼是開源授權條款開始，到收集和處理數據，最後以對公司有用的方式顯示數據；並解釋我們如何調整和建立我們的流程來檢查整個程式碼庫元件。</t>
  </si>
  <si>
    <r>
      <rPr>
        <sz val="10.0"/>
      </rPr>
      <t xml:space="preserve">原網址被移除
</t>
    </r>
    <r>
      <rPr>
        <color rgb="FF1155CC"/>
        <sz val="10.0"/>
        <u/>
      </rPr>
      <t>https://openchainproject.org/unlisted/2024/07/17/case-study-implementing-the-openchain-specification-endjin</t>
    </r>
  </si>
  <si>
    <t>https://endjin.com/what-we-think/talks/implementing-openchain-iso-iec-5230-and-iso-iec-18974</t>
  </si>
  <si>
    <t>maybe 可以做為盈萱在會內分享時的主題</t>
  </si>
  <si>
    <t>2024 Aug 29</t>
  </si>
  <si>
    <t>What does ‘open source AI’ mean, anyway?</t>
  </si>
  <si>
    <t>開源倡議 ( OSI ) 一直是開源定義的管理者，並自三年前起試圖定義「開源人工智慧」(open source AI )。此嘗試一方面是為回應 Meta 聲稱其為開源的大型語言模型，社群內一方面反對此看法，另一方面因為資金來源而可能有所衝突，OSI 同時也在多元化資金來源。
目前的開源人工智慧定義已有 0.0.8 草案版本，定義上的挑戰主要為-資料是否提供其他人查看、而資料訓練後無法向軟體一樣複製。該版本定義預計在10月底 All Things Open conference 會議中達成一穩定開源人工智慧定義。</t>
  </si>
  <si>
    <t>https://techcrunch.com/2024/06/22/what-does-open-source-ai-mean-anyway/</t>
  </si>
  <si>
    <t>開源 AI</t>
  </si>
  <si>
    <t>Mozilla's Original Sin</t>
  </si>
  <si>
    <t>Mozilla 因接受 DRM（數位版權管理） 而飽受爭議。文中討論開源專案為何因為 protocol 而只能妥協，導致違背開源社群精神。
文末寫首 Mozilla 應該只做兩件事：建構網頁瀏覽器的最佳範例，以及成為標準委員會中的巨砲委員。</t>
  </si>
  <si>
    <t>https://www.jwz.org/blog/2024/06/mozillas-original-sin/</t>
  </si>
  <si>
    <t>Mozilla 的開源界定位</t>
  </si>
  <si>
    <t>blog via HN</t>
  </si>
  <si>
    <t>Geomys, a blueprint for a sustainable open-source maintenance firm</t>
  </si>
  <si>
    <t>Geomys，永續開源維護公司的藍圖
作者 2022 年離開 Google，尋找可持續的開源維護方法。最後建立 Geomys，一家由專業開源維護人員組成的小公司。
一開始的的假設：公司希望為其關鍵的開源依賴項付費，但市場沒有這類服務。作者實際嘗試後，留下3/4的顧客。
商業模式：客戶仍每月支付固定的聘金，以確保整個產品組合的專業維護，並獲得所有 Geomys 維護人員的專業知識。</t>
  </si>
  <si>
    <t>https://words.filippo.io/dispatches/geomys/</t>
  </si>
  <si>
    <t>Geomys、開源商業模式</t>
  </si>
  <si>
    <t>Google backs Indian open source Uber rival</t>
  </si>
  <si>
    <t>Google 支援印度開源 Uber 競爭對手 Moving Tech，他是印度開源共乘應用程式Namma Yatri的母公司，該公司憑藉其免佣金模式迅速從 Uber 和 Ola 手中奪取了市場份額。
Namma Yatri 在數位商務開放網路 (ONDC) 上工作，這是一項由印度政府支持的互通計劃，旨在實現該國電子商務的民主化。在過去的十年中，印度一直在推行一項雄心勃勃的策略，透過 “India Stack,”(印度堆疊) （一組用於身分、支付和資料共享的開放 API）實現經濟和公共服務的數位化。這項由政府主導的措施旨在創建統一的數位基礎設施，公共和私營部門都可以利用該基礎設施，為公民提供更有效率、更包容的服務。</t>
  </si>
  <si>
    <t>https://techcrunch.com/2024/07/15/google-backs-indian-open-source-uber-rival-namma-yatri/</t>
  </si>
  <si>
    <t>印度、共乘、開源應用、開放資料</t>
  </si>
  <si>
    <t>ACM via HN</t>
  </si>
  <si>
    <t>Free and Open Source Software–and Other Market Failures</t>
  </si>
  <si>
    <r>
      <rPr>
        <rFont val="Arial"/>
        <color theme="1"/>
        <sz val="10.0"/>
      </rPr>
      <t xml:space="preserve">作者對於 FOSS 商業模型的失敗的看法和主流不同。
</t>
    </r>
    <r>
      <rPr>
        <rFont val="Arial"/>
        <b/>
        <color theme="1"/>
        <sz val="10.0"/>
      </rPr>
      <t>開源本身並不是目的，而是達到目的的一種手段</t>
    </r>
    <r>
      <rPr>
        <rFont val="Arial"/>
        <color theme="1"/>
        <sz val="10.0"/>
      </rPr>
      <t>，這就是自由：修復損壞的東西的自由，免於那些認為自己可以緊緊抓住源代碼並利用我們的無知的人的自由。</t>
    </r>
  </si>
  <si>
    <t>https://cacm.acm.org/practice/free-and-open-source-software-and-other-market-failures/</t>
  </si>
  <si>
    <t>FOSS商業模型</t>
  </si>
  <si>
    <t>ChatGPT 做論文摘要：
FOSS的本質：自由及開放原始碼軟體（FOSS）並非目的，而是達到自由的一種手段。
市場失靈的背景：FOSS起源於商業軟體市場失靈的背景，當時的商業軟體無法滿足用戶需求。
歷史演進：FOSS運動起源於1991年左右，對當時商業軟體的局限性提出挑戰。
現代挑戰：隨著時間的推移，FOSS面臨維護舊版程式碼的挑戰，更多人開始將源碼視為負擔而非資產。
結論：FOSS已經達成其主要目標，但現代IT的挑戰與1991年的問題不同，未來仍有許多困難需要克服。</t>
  </si>
  <si>
    <t>企業導入SBOM軟體物料清單有六大常見迷思的考驗</t>
  </si>
  <si>
    <t>美國、歐盟等國政府開始要求軟體供應商建立 SBOM 軟體物料清單，就連臺灣食藥署也有相關要求。國際自動化協會臺灣分會會長林上智歸納了企業SBOM在應用和實務上常見的挑戰和迷思，並提出應對的建議。
迷思1: SBOM 表可以用各種格式和方法產生
迷思2: SBOM中只需列出自行開發的軟體，對於使用的開源軟體或商用套裝軟體則不需列入
迷思3: SBOM表只要購買商業軟體或掃描工具就可以自動建立，不需要人為介入
迷思4:SBOM表產生後，就意謂完成所有工作
迷思5:SBOM產生需要掃描程式碼，沒有程式碼就無法生成
迷思6:使用SBOM表掃描已知漏洞，沒有掃描到代表就很安全</t>
  </si>
  <si>
    <t>https://www.ithome.com.tw/news/164109</t>
  </si>
  <si>
    <t>SBOM, 實務</t>
  </si>
  <si>
    <t>國泰金控結合SBOM軟體物料清單加強軟體供應鏈安全，優先從中臺微服務供應鏈導入</t>
  </si>
  <si>
    <t>國泰金控工程師分享 SBOM 四大好處: 
1.提供軟體元件的可見性和透明度，增強軟體供應鏈的安全性
2. 透過詳細的元件列表，可用於漏洞管理，並能在攻擊發生後協助進行事件還原。
3. 一旦遇到特定漏洞時，就可以快速知道公司是否使用這些元件，並可用於風險評估以決定修補程式的優先順序 
4. SBOM 還可以提供授權資訊，確保符合合規及監管要求，像是金融業。</t>
  </si>
  <si>
    <t>https://www.ithome.com.tw/news/164063</t>
  </si>
  <si>
    <t>SBOM, 台灣案例
,金融</t>
  </si>
  <si>
    <t>電子地圖基金會Overture Maps發布開放地圖資料集的正式版</t>
  </si>
  <si>
    <t>Overture Maps 基金會，是為了對抗封閉的 Google 地圖所建立的組織，由 AWS、微軟、Meta 及 TomTom共同創立。
基金會正式發表開放地圖資料集，企圖提供一個連結不同資料集的系統，來簡化其互通性，同時推動一個紀錄圖資的通用架構，以創造容易使用的地圖資料。此地圖包括全球23億個建築物，5千多萬個興趣點，支援逾40種語言的國家及地區的行政邊界，以及涵蓋水及土地的基礎資料。</t>
  </si>
  <si>
    <t>https://www.ithome.com.tw/news/164101</t>
  </si>
  <si>
    <t>https://overturemaps.org/overture-maps-foundation-releases-general-availability-of-its-open-maps-datasets/</t>
  </si>
  <si>
    <t>開源地圖集</t>
  </si>
  <si>
    <t>Google揭露可協助維護開源軟體的AI代理人Project Oscar</t>
  </si>
  <si>
    <t>Google 本周開源 AI 代理人專案 Project Oscar，以用來協助維護擁有眾多貢獻者的開源專案。Oscar 與許多以大型語言模型（LLM）來協助開發的專案不同，它並不企圖強化或取代撰寫程式碼的程序，而是專注於處理貢獻者所提出的問題，以及於現有的文件中找出相關問題的解答或解釋。</t>
  </si>
  <si>
    <t>https://www.ithome.com.tw/news/163991</t>
  </si>
  <si>
    <t>LLM, 開源、AI 代理人</t>
  </si>
  <si>
    <t>Neo Malware: Malicious Open Source Packages</t>
  </si>
  <si>
    <r>
      <rPr>
        <rFont val="Arial"/>
        <color theme="1"/>
        <sz val="10.0"/>
      </rPr>
      <t>此文提供</t>
    </r>
    <r>
      <rPr>
        <rFont val="Arial"/>
        <b/>
        <color theme="1"/>
        <sz val="10.0"/>
      </rPr>
      <t>面對惡意開源套件</t>
    </r>
    <r>
      <rPr>
        <rFont val="Arial"/>
        <color theme="1"/>
        <sz val="10.0"/>
      </rPr>
      <t>之應對流程和先進的安全解決方案
1. 安全團隊和開發人員必須有效協作，採用能夠原生解決開源軟體和軟體供應鏈的獨特風險的工具，尤其是涉及新型惡意軟體威脅的工具。
2. 提供七個關鍵步驟，以顯著降低將惡意元件引入開發流程的風險，從而確保安全且有彈性的軟體供應鏈。
3. OpenSSF 推出了惡意開源軟體包儲存庫，為一用於收集和發布惡意套件跨生態系統報告的開源系統，這是一項開放且由貢獻者驅動的計劃。並鼓勵貢獻者加入。</t>
    </r>
  </si>
  <si>
    <t>https://openssf.org/blog/2024/07/31/neo-malware-malicious-open-source-packages/</t>
  </si>
  <si>
    <t>開源社群、惡意開源套件、開源資料庫</t>
  </si>
  <si>
    <t>AP via HN</t>
  </si>
  <si>
    <t>Brazil data regulator bans Meta from mining data to train AI models</t>
  </si>
  <si>
    <t>巴西國家資料保護機構週二裁定，Instagram 和 Facebook 的母公司 Meta 不得使用源自該國的資料來訓練其人工智慧。
決定源於「受影響資料主體的基本權利面臨嚴重且不可挽回或難以修復的損害的迫在眉睫的風險」。</t>
  </si>
  <si>
    <t>https://apnews.com/article/brazil-tech-meta-privacy-data-93e00b2e0e26f7cc98795dd052aea8e1</t>
  </si>
  <si>
    <t>資料主權、南美、Meta</t>
  </si>
  <si>
    <t>Amos：以後會不會出現 Data Sovereignty 之類的觀念？</t>
  </si>
  <si>
    <t>Coder nabs new funds to move dev environments to the cloud</t>
  </si>
  <si>
    <t>Coder 是開源 CDE （雲端開發環境）供應商之一，近期取得新投資。
Coder 為平台和開發團隊提供免費的開源軟體，用於將開發環境和原始程式碼從本機電腦遷移到雲端基礎架構。
該公司預測，到 2025 年，30% 的大型企業將使用雲端開發環境來簡化開發工作流程並實現更好的可管理性，到2027 年，受到高度監管的垂直行業中 40% 的組織將強制要求使用雲端開發環境。</t>
  </si>
  <si>
    <t>https://techcrunch.com/2024/06/25/coder-nabs-new-funds-to-move-dev-environments-to-the-cloud/</t>
  </si>
  <si>
    <t>雲端</t>
  </si>
  <si>
    <t>2024 Sep 4</t>
  </si>
  <si>
    <t>Managing Your Open Source Software Supply Chain – A Guide From The OpenChain Project</t>
  </si>
  <si>
    <t>Linux 基金會 OpenChain Project 推出《管理您的開源軟體供應鏈》的 OpenChain 指南第二版，旨在幫助供應鏈中的公司了解和管理開源軟體。這是建立在 OpenChain 日本工作小組 2019 年構建第一版的出色貢獻的基礎上的，包含 2019 至今的市場發展。</t>
  </si>
  <si>
    <t>https://openchainproject.org/news/2024/07/30/managing-your-open-source-software-supply-chain-2nd</t>
  </si>
  <si>
    <t>https://github.com/OpenChain-Project/Reference-Material/blob/master/Education-For-Suppliers/Supplier-Education-Leaflet/supply-chain-education-leaflet-version-2-2024/supply-chain-education-leaflet-version-2_en.md</t>
  </si>
  <si>
    <t>OpenChain、日本</t>
  </si>
  <si>
    <t>Google releases new ‘open’ AI models with a focus on safety</t>
  </si>
  <si>
    <t>Google 發布三個新的「開放」生成人工智慧模型， Gemma 2 2B、ShieldGemma 和 Gemma Scope 稱其比大多數模型「更安全」、「更小」和「更透明」。
Gemma 2 2B 用於生成分析文本；ShieldGemma 是「安全分類器」的集合，試圖偵測仇恨言論、騷擾和露骨色情內容等毒性內容；Gemma Scope 允許開發人員「放大」Gemma 2 模型中的特定點，並使其內部工作原理更易於解釋。
美國商務部在初步報告中認可開放模式擴大了生成式人工智慧對小型公司、研究人員、非營利組織和個人開發者的可用性，同時也強調需要有能力監控此類模式的潛在風險。</t>
  </si>
  <si>
    <t>https://techcrunch.com/2024/07/31/google-releases-new-open-ai-models-with-a-focus-on-safety/</t>
  </si>
  <si>
    <t xml:space="preserve">開源 AI </t>
  </si>
  <si>
    <t>Amos：LLM 的發展好像開始往特定領域發展</t>
  </si>
  <si>
    <t>OSI</t>
  </si>
  <si>
    <t>OSI at the United Nations OSPOs for Good</t>
  </si>
  <si>
    <t>OSI 執行長 Stefano Maffulli 在聯合國「OSPOs for Good」活動中強調了將開放原始碼的原則應用於 AI 的重要性。
-為實現 AI 的開放原始碼，需要解決資料、程式碼、法律框架等多個方面的問題
-政府須協調資料規範、建立公開資料集和促進學術界、小型開發者和全球南方參與方面發揮作用。
-開放原始碼 AI 的發展需要軟體世界和資料科學領域之間更多的互動和學習
-開放原始碼 AI 的未來發展方向：需要維持社會對技術的掌控權，並確保私營部門、公共部門、非營利部門和經常被忽視的第四部門（包括為公共利益而非盈利而工作的開發商和創造者）之間的平衡權力平衡。</t>
  </si>
  <si>
    <t>https://opensource.org/blog/osi-at-the-united-nations-ospos-for-good</t>
  </si>
  <si>
    <t>開源 AI、OSPOs for Good</t>
  </si>
  <si>
    <t>SOSS Fusion 2024 CFP Results: A Look at Our Diverse and Engaging Program</t>
  </si>
  <si>
    <r>
      <rPr>
        <rFont val="Arial"/>
        <color theme="1"/>
        <sz val="10.0"/>
      </rPr>
      <t>安全開源軟體 (SOSS) Fusion 會議 (10/22-23) 議程投稿內容
50% 軟體開發和開源軟體以及人工智慧和安全領域。
20%  OSS 消耗和最終用戶的主題。
30% 各種主題，例如多元化和社區發展、公共政策、</t>
    </r>
    <r>
      <rPr>
        <rFont val="Arial"/>
        <b/>
        <color theme="1"/>
        <sz val="10.0"/>
      </rPr>
      <t xml:space="preserve">OSPO </t>
    </r>
    <r>
      <rPr>
        <rFont val="Arial"/>
        <color theme="1"/>
        <sz val="10.0"/>
      </rPr>
      <t>和安全以及安全教育
近 60% 的提交內容來自多元化、公平和包容性背景，略多於 40% 的提交內容來自美國和加拿大以外的全球社群。</t>
    </r>
  </si>
  <si>
    <t>https://openssf.org/blog/2024/07/24/soss-fusion-2024-cfp-results-a-look-at-our-diverse-and-engaging-program/</t>
  </si>
  <si>
    <t>OSPO 開源辦公室</t>
  </si>
  <si>
    <t>TheVerge</t>
  </si>
  <si>
    <t>Apple is first company charged with violating EU’s DMA rules</t>
  </si>
  <si>
    <r>
      <rPr>
        <rFont val="Arial"/>
        <color theme="1"/>
        <sz val="10.0"/>
      </rPr>
      <t>監管機構在周一的初步裁決中表示，</t>
    </r>
    <r>
      <rPr>
        <rFont val="Arial"/>
        <b/>
        <color theme="1"/>
        <sz val="10.0"/>
      </rPr>
      <t>蘋果的應用商店「指導」政策</t>
    </r>
    <r>
      <rPr>
        <rFont val="Arial"/>
        <color theme="1"/>
        <sz val="10.0"/>
      </rPr>
      <t>違反了旨在鼓勵競爭的歐盟數位市場法案。歐盟委員會也對蘋果對歐洲替代 iOS 市場的支持展開了新的調查，包括向開發者收取的核心技術費用。</t>
    </r>
  </si>
  <si>
    <t>https://www.theverge.com/2024/6/24/24184629/apple-dma-steering-infringement-ruling</t>
  </si>
  <si>
    <t>蘋果、歐盟數位市場法</t>
  </si>
  <si>
    <t>Amos：之前有新聞就有說守門人條款，會針對六大巨頭設定限制</t>
  </si>
  <si>
    <t>Microsoft charged with EU antitrust violations for bundling Teams</t>
  </si>
  <si>
    <t>歐盟監管機構指控微軟非法將 Teams 聊天應用程式與其 Office 365 和 Microsoft 365 訂閱捆綁在一起。這是微軟 15 年來首次在歐盟被指控違反反壟斷法，此前發生了兩起與 Windows Media Player 和 Internet Explorer 捆綁相關的重大案件。</t>
  </si>
  <si>
    <t>https://www.theverge.com/2024/6/25/24185467/microsoft-teams-eu-bundling-antitrust-violations</t>
  </si>
  <si>
    <t>微軟、反壟斷法</t>
  </si>
  <si>
    <t>Meta inches toward open source AI with new Llama 3.1</t>
  </si>
  <si>
    <t>開源界認為 Meta 宣稱之開源人工智慧程式並非開源
Facebook 的母公司 Meta 宣布了一個名為 Llama 3.1 405B的新開源人工智慧程式，開發者可在這裡檢查 Llama 3.1 https://llama.meta.com/。Meta 執行長馬克·祖克柏宣稱「開源人工智慧是前進的道路、開放模型將成為標準」。
但OSI 與 Linux開發人員皆不認為他是開源的。原因是: 
- 未使用OSI 批准的開源授權 
- Llama 對任何開發者來說都是一種責任；太不透明而無法安全使用，並且其許可證最終讓 Meta 負責他們的創新。
- 仍然限制哪些公司可以使用該軟體</t>
  </si>
  <si>
    <t>https://www.zdnet.com/article/meta-inches-toward-open-source-ai-with-new-llama-3-1/#ftag=RSSbaffb68</t>
  </si>
  <si>
    <t>AI, FB, Llama, license</t>
  </si>
  <si>
    <t>NVIDIA Transitions Fully Towards Open-Source Linux GPU Kernel Modules</t>
  </si>
  <si>
    <t>NVIDIA 全面轉向開源Linux GPU 核心模組
透過 R515 驅動程序，NVIDIA 於 2022 年 5 月以開源方式發布了一組Linux GPU 核心模組，具有 GPL 和 MIT 雙重授權。初始版本針對資料中心計算 GPU，其中 GeForce 和工作站 GPU 處於 alpha 狀態。</t>
  </si>
  <si>
    <t>https://developer.nvidia.com/blog/nvidia-transitions-fully-towards-open-source-gpu-kernel-modules/</t>
  </si>
  <si>
    <t>NVIDIA、開源</t>
  </si>
  <si>
    <t>The register via HN</t>
  </si>
  <si>
    <t>The graying open source community needs fresh blood</t>
  </si>
  <si>
    <t>聯合國 OSPO for Good 會議上的「青年與開源」分組討論中，奈及利亞年輕開源專案經理 Ruth Ikegah 的話說：“我們這裡需要更多年輕人，因為我在這裡看到多數人都有年紀了。”
文章也提到，大多數活動都是為經驗豐富的開源人士而不是初學者舉辦的。Linux 基金會活動中看到了更多白髮。
「讓人們維護舊程式碼並不容易。對於經驗豐富的程式設計師來說，倦怠，年輕的開發者想要創造新的東西。」</t>
  </si>
  <si>
    <t>https://www.theregister.com/2024/07/15/opinion_open_source_attract_devs/</t>
  </si>
  <si>
    <t>OSPO for Good、世代議題</t>
  </si>
  <si>
    <t>Switzerland federal government requires releasing its software as open source</t>
  </si>
  <si>
    <t>瑞士聯邦政府要求將其軟體開源
瑞士在《使用電子手段履行政府任務聯邦法》（EMBAG）方面向前邁出了一大步。這項開創性的立法要求發布聯邦政府的開源軟體（OSS），並要求將非個人和非安全敏感的政府資料作為開放政府資料 (OGD) 發布。這種雙重「預設開放」方法標誌著向軟體和資料的更大開放性和實際重用方向的重大範式轉變。此法案它旨在促進數位主權並鼓勵公共部門內的創新與合作。
瑞士學者相信每個人都將從這項法規中受益，因為它減少了公共部門的供應商鎖定，允許公司擴展其數位業務解決方案，並有可能降低 IT 成本並改善納稅人的服務。
歐盟 (EU) 長期以來一直致力於透過歐盟的自由開源軟體審計 (FOSSA)計畫來確保 OSS 的安全。</t>
  </si>
  <si>
    <t>https://www.zdnet.com/article/switzerland-now-requires-all-government-software-to-be-open-source/#ftag=RSSbaffb68</t>
  </si>
  <si>
    <t>EMBAG, OSS, OGD, EU, open source by default</t>
  </si>
  <si>
    <t>OpenSSF via HN</t>
  </si>
  <si>
    <t>Scorecard: Assess Open Source Project Security</t>
  </si>
  <si>
    <t>記分卡透過一系列自動檢查來評估開源專案的安全風險。
OpenSSF 記分卡可以透過多種不同的方式使用：
- 使用 GitHub Action在您擁有的程式碼上自動執行
- 透過命令列在您（或其他人）的專案上手動運行
記分卡檢查影響軟體供應鏈不同部分的漏洞，包括原始程式碼、建置、依賴性、測試和專案維護。</t>
  </si>
  <si>
    <t>https://scorecard.dev/</t>
  </si>
  <si>
    <t>計分卡、開源安全風險</t>
  </si>
  <si>
    <t>GenBook RK3588 – Modular open-source ARM laptop with DIY expansion capabilities</t>
  </si>
  <si>
    <t>GenBook RK3588 – 具有 DIY 擴充功能的模組化開源ARM筆記型電腦
Genbook-RK3588是開放硬體，公開 BOM 表。提供了核心和Uboot原始碼。</t>
  </si>
  <si>
    <t>https://www.crowdsupply.com/shenzhen-tianmao-technology/genbook-rk3588</t>
  </si>
  <si>
    <t>Amos</t>
  </si>
  <si>
    <t>模組化開源筆電</t>
  </si>
  <si>
    <t>Amos：又一款模組化筆電，或許是個趨勢。</t>
  </si>
  <si>
    <t>一不小心就被歐盟罰 10 億，《人工智慧法案》正式生效如何衝擊科技巨頭？</t>
  </si>
  <si>
    <t>由歐盟主導的世界首部《人工智慧法案》於 8 月 1 日正式生效。
-此法案為整個歐盟的 AI 科技制定了全面、統一的監管框架，但這些規則卻主要針對美國大型科技公司而來，例如微軟、Google、Meta、OpenAI 等等，畢竟他們目前才是最先進 AI 系統的關鍵領導者。
-此法也管轄非科技公司，單純部署或使用 AI 的企業，同樣會受到規範。
-採用基於風險等級，以不同方式來監管 AI 技術，這意味著擁有不同風險程度的 AI 應用，將會被套用不同的監管方法，並非將 AI 視為一個整體並齊頭對待。
-最高可罰營業額 7%，比 GDPR 更嚴格</t>
  </si>
  <si>
    <t>https://buzzorange.com/techorange/2024/08/02/eu-ai-act-goes-into-effect/</t>
  </si>
  <si>
    <t>YH</t>
  </si>
  <si>
    <t>歐盟 AI 法</t>
  </si>
  <si>
    <t>全球首部人工智慧法案歐盟AI Act生效了</t>
  </si>
  <si>
    <t>歐盟 AI Act 定義了 4 種 AI 風險與行為準則: 
大多數的 AI 系統屬於最小風險，例如垃圾郵件過濾程式或 AI 遊戲等，這些系統不必承擔義務，但可以自願採用額外的行為準則。其次則是特定的透明度風險，要求諸如聊天機器人等系統必須明白讓用戶知道，他們正在與機器人互動，且某些由 AI 生成的內容也必須標記。
被歸類為高風險的AI系統必須符合更嚴格的要求，例如基於AI的醫療軟體，或者是用來招募人才的AI 系統等，都必須配備風險緩解系統，採用高品質的資料集，擁有清楚的使用者資訊，以及受到人類監督等。
不管是由政府或企業主導的「社會評分」（social scoring）AI系統，都被認為威脅到人類的基本權利，而直接被禁止。</t>
  </si>
  <si>
    <t>https://www.ithome.com.tw/news/164292</t>
  </si>
  <si>
    <t>71 communities from Lviv Region, Ukraine adopt the international Open Data Charter en masse</t>
  </si>
  <si>
    <t>烏克蘭利沃夫地區 71 個社群集體採用國際開放資料憲章，旨在推動該地區的透明度和問責制。文章詳細說明了該地區為推廣開放資料所採取的措施，包括建立本地資料平台、簽署資料交換備忘錄以及培養開放資料文化。</t>
  </si>
  <si>
    <t>https://medium.com/opendatacharter/71-communities-from-lviv-region-ukraine-adopt-the-international-open-data-charter-en-masse-a0cab0aae9b8</t>
  </si>
  <si>
    <t>烏克蘭、開放資料</t>
  </si>
  <si>
    <t>FOSS NEWS via HN</t>
  </si>
  <si>
    <t>Proton Mail Adds an Open-Source AI Writing Assistant to Take on Gmail</t>
  </si>
  <si>
    <t>Proton Mail 添加開源 AI 寫作助手，不像 Gmai 一樣要求讀取使用者資料，：Proton 所有處理都在使用者裝置上進行本機處理，不會將任何敏感資訊傳送到 Proton，甚至不會使用 Proton 的零存取加密技術來訓練所使用的 AI 模型。如果不需要，可以停用 Proton Scribe。</t>
  </si>
  <si>
    <t>https://news.itsfoss.com/proton-mail-ai-assistant/</t>
  </si>
  <si>
    <t>Proton Mail、開源 AI 、離線AI(非雲端)</t>
  </si>
  <si>
    <t>Proton 使用 AI 的同時，嘗試維持隱私</t>
  </si>
  <si>
    <t>The Verge</t>
  </si>
  <si>
    <t>Google has to face a class action lawsuit over Chrome’s data collection</t>
  </si>
  <si>
    <t>指控 Google 的 Chrome 同步功能在未經同意的情況下收集用戶資訊的訴訟已被重新提起。
2024 年 8 月 21 日，由聯邦上訴法院推翻了 2022 年 12 月的駁回裁決，原訴訟指控 Google 即使在未啟用 Chrome 同步的情況下，仍收集用戶的瀏覽歷史、IP 位址、持久性 Cookie 標識符及唯一瀏覽器標識符等資訊。Google 曾辯稱用戶在接受隱私政策時已同意這些收集行為，並得到了初審法官的支持。
然而，上訴法院認為，原審法官未充分考慮用戶是否真正理解該協議，並指出 Google 的隱私聲明不夠明確，且曾暗示用戶關閉同步後資料不會被傳送到 Google。因此，案件將重新送回下級法院進行審理。</t>
  </si>
  <si>
    <t>https://www.theverge.com/2024/8/20/24224686/google-class-action-lawsuit-chrome-sync-data-collection</t>
  </si>
  <si>
    <t>Cheng</t>
  </si>
  <si>
    <t>Google sales reps allegedly keep telling advertisers how to target teens</t>
  </si>
  <si>
    <t>Google 的銷售代表被指控向廣告客戶提供建議，讓他們透過「未知用戶」類別來鎖定青少年受眾，儘管 Google 宣稱禁止向 18 歲以下的用戶投放基於年齡、性別或興趣的廣告。
Google 將對內部員工進行進一步教育，確保不會幫助廣告客戶規避政策。這一行為可能引發對《兒童線上隱私保護法》（COPPA）的關注，該法案禁止未經父母同意收集 13 歲以下兒童的個人信息。
此外，新的法案版本已通過參議院，若在眾議院通過，將禁止對 17 歲以下的青少年進行定向廣告投放。</t>
  </si>
  <si>
    <t>https://www.theverge.com/2024/8/21/24225326/google-target-teens-ads-unknown-users</t>
  </si>
  <si>
    <t>案例, 法制化</t>
  </si>
  <si>
    <t>The developers suing over GitHub Copilot got dealt a major blow in court</t>
  </si>
  <si>
    <t>加州法院最近駁回了一個針對GitHub、微軟和OpenAI的大部分訴訟。該訴訟由一群開發者於2022年提出，指控這些公司違反版權法，允許AI輔助程式開發工具GitHub Copilot以開發者的程式碼進行訓練。這次判決只保留了兩項指控：一是關於開源授權條款的違規，另一個是關於合約違約的指控。
原訴訟提出了22項指控，包括GitHub Copilot違反《數位千禧年著作權法》（DMCA），未經授權提供程式碼建議。然而，法官Jon Tigar認為這些指控的程式碼與原始程式碼不夠相似，不足以構成侵權。訴訟還提到GitHub的filter功能，該功能可以檢測並抑制與公開程式碼相符的建議，但開發者質疑這個功能是否真的有效。法官駁回了這些指控，並禁止重新提起相關訴訟。
雖然大部分訴訟被駁回，但有關合約違約和開源授權違規的部分仍將繼續進行訴訟。</t>
  </si>
  <si>
    <t>https://www.theverge.com/2024/7/9/24195233/github-ai-copyright-coding-lawsuit-microsoft-openai</t>
  </si>
  <si>
    <t>IF</t>
  </si>
  <si>
    <t>Mark Zuckerberg responds to GOP pressure, says Biden pushed to ‘censor’ covid posts</t>
  </si>
  <si>
    <t>Meta執行長馬克·祖克柏在8月28日給共和黨領導的眾議院司法委員會的信中表示，拜登政府在2021年多次施壓，要求他的團隊「審查」與新冠疫情有關的內容。祖克柏承認，當時應該更強力反對這種做法，並表示未來若再發生類似情況，Meta將會堅決抵抗。他也提到不會再像2020年那樣捐款支持地方選舉基礎建設，以避免在政治上被視為不中立。
信中還提到，拜登政府曾在疫情期間要求社交平台修改算法，以防止錯誤信息的擴散。祖克柏對於Meta當時下架或限制特定內容表示後悔，認為有些決策若換在今天，他們不會做出同樣的選擇。</t>
  </si>
  <si>
    <t>https://www.theverge.com/2024/8/27/24229668/mark-zuckerberg-gop-pressure-biden-censor-covid-posts</t>
  </si>
  <si>
    <t>Dutch regulator slaps Clearview AI with $33 million fine and threatens executive liability</t>
  </si>
  <si>
    <t>荷蘭管理機構對Clearview AI處以3,370萬美元的罰款，並威脅負責人承擔個人責任。
Clearview AI是一家美國人臉辨識公司，透過從社群媒體平台收集影像來建立資料庫，因涉嫌侵犯隱私問題在全球多地受到監管機構的指控。荷蘭資料保護局（Dutch DPA）對Clearview處以3,050萬歐元（約合3,370萬美元）的罰款，指控其非法包含「唯一生物識別程式碼」的資料庫，並且未向受影響的人提供充分的資訊。該公司在調查期間未改善其行為，可能面臨額外510萬歐元的罰款。
由於Clearview未改變其行為，荷蘭資訊保護局正在考慮是否讓公司的管理層負上個人責任。如果這些負責人明知GDPR違規行為，卻未加以阻止，他們可能面臨法律追責。Clearview無法對此罰款提出上訴，但該公司聲稱這一決定無效，理由是它在荷蘭或歐盟無業務據點或客戶，也未進行受GDPR約束的活動。</t>
  </si>
  <si>
    <t>https://www.theverge.com/2024/9/3/24234879/dutch-regulator-gdpr-clearview-ai-fine</t>
  </si>
  <si>
    <t>OD, OG</t>
  </si>
  <si>
    <r>
      <rPr>
        <color rgb="FF1155CC"/>
        <sz val="10.0"/>
        <u/>
      </rPr>
      <t>Techcentral.ie</t>
    </r>
    <r>
      <rPr>
        <sz val="10.0"/>
      </rPr>
      <t xml:space="preserve"> via Ian</t>
    </r>
  </si>
  <si>
    <t>EU to Ireland: data governance matters</t>
  </si>
  <si>
    <t>歐盟已針對愛爾蘭未執行《資料治理法案》提起侵權訴訟，該法案是一項 2022 年法律，旨在加強跨部門和歐盟國家之間的資料共享，以使公民和企業受益。
愛爾蘭不僅將自己定位為歐洲科技產業的發源地，企業也不羞於宣布更多利用資料的計畫。但該國未能提名一個所謂的「主管當局」，即有權監督該法案的遵守情況並將其轉化為國家立法的機構。</t>
  </si>
  <si>
    <t>https://www.techcentral.ie/eu-to-ireland-data-governance-matters/</t>
  </si>
  <si>
    <t xml:space="preserve">Dentons </t>
  </si>
  <si>
    <t>Roadmap of new and upcoming EU TMT regulations</t>
  </si>
  <si>
    <t>2024年，歐盟持續加強在 TMT (科技、媒體與通信)領域的活動力度。新的法規和提案將對 TMT 產業及其他領域的公司產生重大影響，促進各利害關係人之間的問責和合作。Dentons 律師事務所出版手冊，整理 36 個歐盟法規與摘要，法規涵蓋：
-隱私和網路安全到廣告和媒體
-消費者保護和電子商務到加密貨幣和稅收規則
-電信和連網設備到人工智慧系統和相關責任</t>
  </si>
  <si>
    <t>https://www.dentons.com/en/insights/articles/2024/july/24/roadmap-of-new-and-upcoming-eu-tmt-regulations</t>
  </si>
  <si>
    <t>https://insights.dentons.com/328/31854/compose-email/eu-tmt.asp</t>
  </si>
  <si>
    <t>YH: 該手冊需要去登記下載。</t>
  </si>
  <si>
    <r>
      <rPr>
        <color rgb="FF1155CC"/>
        <sz val="10.0"/>
        <u/>
      </rPr>
      <t>OpenSource.net</t>
    </r>
    <r>
      <rPr>
        <sz val="10.0"/>
      </rPr>
      <t xml:space="preserve"> via HN</t>
    </r>
  </si>
  <si>
    <t>Open Source takes center stage at United Nations</t>
  </si>
  <si>
    <t>作者參加聯合國 OSPO  會議，幾個有趣的觀察：
- 備受期待的人工智慧部分是會議的羅夏墨跡測試。每個人都看到了不同的東西，這反映了該技術仍在形成的形態。
- Thigo 在開幕主題演講中展示了開源對於他的祖國肯亞的行動貨幣革命至關重要。如果以不同的方式開發，這種突破性的創新可能會被私有化，並且無法被那些最需要它的人所利用。
- 開源永續的解決方案是什麼？像對待任何其他基礎設施一樣對待開源軟體，並製定維護計劃。</t>
  </si>
  <si>
    <t>https://opensource.net/open-source-takes-center-stage-at-united-nations/</t>
  </si>
  <si>
    <t>Mozilla</t>
  </si>
  <si>
    <t>AI Training Can Undermine the Open Web. This Team Is Thinking Through Solutions</t>
  </si>
  <si>
    <t>人工智慧訓練可能會破壞開放網路(Open Web)，Mozilla 基金會的研究團隊 Data Provenance Initiative (DPI) 思索解決方案。
開放資料存取 vs 資料使用同意之間經常存在緊張關係。
新聞、文章、評論網站、社交媒體等優質、新鮮的資料來源，正對 AI 展開限制，必然使得 AI 資料來源偏差，並可能使 AI 模型用來訓練的素材來源，超出公眾可監督的層面。
DPI 希望促進政策制定者和人工智慧開發人員共同努力開發新的協定和基礎設施，使資料採購有效且合乎道德地進行。</t>
  </si>
  <si>
    <t>https://foundation.mozilla.org/en/blog/ai-training-can-undermine-the-open-web-this-team-is-thinking-through-solutions/</t>
  </si>
  <si>
    <t>DX via HN</t>
  </si>
  <si>
    <t>DX @ HuggingFace: Scaling open source ML community 200% a year with No OKRs &amp; No Meetings</t>
  </si>
  <si>
    <t>HuggningFace 專訪
Hugging Face 是一家以社群為中心的公司。近年使用量快速增長，並實現營收。其對社群的支援案例：
- 優先考慮盡可能多地關注社區成員和合作者。
- 向社群成員/社群提供計算和不附加任何條件的現金補助
- 協助維護其他團隊的開源程式庫，並與其他工具密切合作</t>
  </si>
  <si>
    <t>https://dx.tips/huggingface</t>
  </si>
  <si>
    <t>SpiceNice via HN</t>
  </si>
  <si>
    <t>An open database of culinary spices.</t>
  </si>
  <si>
    <t>烹飪香料的開放資料庫。</t>
  </si>
  <si>
    <t>https://spicenice.pages.dev/spices/all/</t>
  </si>
  <si>
    <t>Amos：像這類簡單的開放資料庫，可作為入門級的案例</t>
  </si>
  <si>
    <t>Mozilla via Ian</t>
  </si>
  <si>
    <t>Mozilla Common Voice’s Latest Ambition: Getting Voice Tools To Understand Natural Conversation &amp; Casual Speech</t>
  </si>
  <si>
    <t>Mozilla Common Voice 的最新目標：使用語音工具來理解自然對話和休閒語音
Common Voice 致力於收集世界各地人們的語音資料，為軟體開發人員提供工具，幫助語音系統更好地識別每個人。資料收錄進開源資料庫之前都會透過刪除個人資訊來進行匿名處理。
自發性的演講請求比準備好的演講更加開放。 “我們將為人們提供提示而不是句子，他們會做出回應。”例如，準備好的語音提示可以說“這個週末我要去海灘”，而自發的語音提示可以問“這個週末你有什麼計劃？” 
語言是有生命的，而且每天都在改變。保持此類資料開源可以讓研究人員繼續跟上。</t>
  </si>
  <si>
    <t>https://foundation.mozilla.org/en/blog/common-voice-spontaneous-speech/</t>
  </si>
  <si>
    <r>
      <rPr>
        <color rgb="FF1155CC"/>
        <sz val="10.0"/>
        <u/>
      </rPr>
      <t>OpenSource.net</t>
    </r>
    <r>
      <rPr>
        <sz val="10.0"/>
      </rPr>
      <t xml:space="preserve"> via HN</t>
    </r>
  </si>
  <si>
    <t>Open Source in Europe: Facing the regulatory challenge</t>
  </si>
  <si>
    <t>歐洲的網絡韌性法案（CRA）要求數位產品遵循嚴格的安全標準，這對開源社群構成挑戰。如：①CRA影響將影響開源授權中的責任條款（免責條款）。②開源專家與監管者缺乏溝通，強調合作的重要性。③現有標準組織（像歐洲的 EC）對開源缺乏專業知識，需進行改進。④呼籲改善開源社群在歐盟政策中的參與。⑤探索小型企業解決方案 CRA 合規的管理服務，以降低成本。</t>
  </si>
  <si>
    <t>https://opensource.net/open-source-cra-challenge/</t>
  </si>
  <si>
    <t>2024 Sep 18</t>
  </si>
  <si>
    <t>89 things I know about Git commits</t>
  </si>
  <si>
    <t>我所知道 89 件關於 Git 提交的事情
作者以列點的方式，列出 89 點有關 Git（版本控制）有關的事，可以供新手快速瞭解 Git 概念</t>
  </si>
  <si>
    <t>https://www.jvt.me/posts/2024/07/12/things-know-commits/</t>
  </si>
  <si>
    <t>git</t>
  </si>
  <si>
    <t>Amos：或許是適合的新手教材？</t>
  </si>
  <si>
    <t>ars technica via HN</t>
  </si>
  <si>
    <t>Concealed backdoor in fake AWS files escaped mainstream notice</t>
  </si>
  <si>
    <t>假AWS檔案中隱藏的後門未獲主流注意
新的惡意程式碼隱藏在開放原始碼內。專家提大家採用開放原始碼時，需注意是否內含惡意程式碼。</t>
  </si>
  <si>
    <t>https://arstechnica.com/security/2024/07/code-sneaked-into-fake-aws-downloaded-hundreds-of-times-backdoored-dev-devices/</t>
  </si>
  <si>
    <t xml:space="preserve">AWS backdoor </t>
  </si>
  <si>
    <t>Amos：新的惡意程式隱藏案例</t>
  </si>
  <si>
    <t>FOSS funding vanishes from EU's 2025 Horizon program plans</t>
  </si>
  <si>
    <t>歐盟的「地平線」（Horizon program）計畫旨在為科技和科學研究提供資金，其中「下一代網路 (NGI)」倡議是該計畫的一部分。然而，2025 年「地平線」計畫的草案中，大部分的 NGI 資金都被刪除。許多倡議人士擔憂，這將會影響許多進行中的計畫，並阻礙歐洲在網路基礎建設方面取得進展。OW2 首席執行長 Pierre-Yves Gibello 認為，歐盟必須重新評估此決策，因為 FOSS（自由及開放原始碼軟體）對保護歐洲利益至關重要。雖然 NGI 倡議仍將在 2025 年獲得部分資金，但預算大幅縮減，且未來幾年可能會面臨資金不足的困境。</t>
  </si>
  <si>
    <t>https://www.theregister.com/2024/07/17/foss_funding_vanishes_from_eus/</t>
  </si>
  <si>
    <t>FOSS funding EU NGI OW2</t>
  </si>
  <si>
    <t>Associated Press via HN</t>
  </si>
  <si>
    <t>White House says no need to restrict ‘open-source’ artificial intelligence — at least for now</t>
  </si>
  <si>
    <t>白宮最近發表了一份關於開源人工智慧的報告，強調目前不需要對這些技術進行限制。美國商務部的Alan Davidson指出開放系統的重要性，認為將 AI 元件廣泛開放有助於創新。這份報告平衡了對 AI 安全風險和技術開放的好處，建議應持續監控，而不是立即實施管制。然而，對於 AI 開放性的政治觀點有所不同，參議員 JD Vance 支持開源 AI，認為這可以避免大科技公司壟斷。</t>
  </si>
  <si>
    <t>https://www.wdtn.com/news/business/ap-business/ap-white-house-says-no-need-to-restrict-open-source-artificial-intelligence-at-least-for-now/</t>
  </si>
  <si>
    <r>
      <rPr>
        <rFont val="Arial"/>
        <color rgb="FF1155CC"/>
        <u/>
      </rPr>
      <t>far.in.net</t>
    </r>
    <r>
      <rPr>
        <rFont val="Arial"/>
      </rPr>
      <t xml:space="preserve"> via HN
</t>
    </r>
  </si>
  <si>
    <t>Contra Zuckerberg on ‘Open Source AI’</t>
  </si>
  <si>
    <t>Mark Zuckerberg 在 Llama 3.1發布時所提倡的「開源人工智慧」願景，認為這種方法無法實現真正的開源理想。作者主張，僅發布模型權重而非完整的原始碼或訓練數據，限制了與開源軟體相關的益處，尤其是在使用者自由和控制方面。授權限制和缺乏必要的工具和資料削弱了Llama 3.1與Linux所代表的開源傳統一致的主張。</t>
  </si>
  <si>
    <t>https://far.in.net/zuckerberg</t>
  </si>
  <si>
    <t>OS, OD, OG</t>
  </si>
  <si>
    <t>tomshardware via HN</t>
  </si>
  <si>
    <t xml:space="preserve">Switzerland mandates government agencies use open-source software
</t>
  </si>
  <si>
    <t xml:space="preserve">瑞士通過了一項新法律，要求政府機構使用開源軟體 (OSS)，並將由公共部門開發的軟體原始碼以開源授權發佈，除非受到安全或第三方權利的限制。該法律《使用電子手段履行政府任務的聯邦法律》（EMBAG）想提高透明度、安全性和效率。此外，該法還要求公佈無敏感性的政府資料，推動“預設開放”的模式。這一手段與其他歐洲國家相似，並與例如“自由與開源軟體審計”（FOSSA）計畫這樣的安全提升措施一致。
</t>
  </si>
  <si>
    <t>https://www.tomshardware.com/software/switzerland-mandates-government-agencies-use-open-source-software</t>
  </si>
  <si>
    <t>OS, OD</t>
  </si>
  <si>
    <t xml:space="preserve">The EU’s AI Act is now in force
</t>
  </si>
  <si>
    <t>歐盟的AI法案，該法案自2024年8月1日起正式生效，並針對人工智慧應用引入了基於風險的規範。法案將AI系統分為三個層級：低/無風險、高風險以及有限風險，並對應不同的法遵要求。這與開放技術密切相關，特別是在通用型AI（GPAI）透明性要求方面。GPAI開發者必須提供訓練資料摘要、遵守版權規則，並遵循歐盟正在制定的實踐準則。</t>
  </si>
  <si>
    <t>https://techcrunch.com/2024/08/01/the-eus-ai-act-is-now-in-force/</t>
  </si>
  <si>
    <t>Wried via HN</t>
  </si>
  <si>
    <t>Watch How a Hacker’s Infrared Laser Can Spy on Your Laptop’s Keystrokes</t>
  </si>
  <si>
    <t>Samy Kamkar開發的一種開源雷射監控工具，能夠遠距檢測鍵盤輸入和錄製聲音。他的創新改進了傳統的「雷射麥克風」，使用雷射捕捉目標筆電或窗戶的振動，能在不被察覺的情況下竊聽鍵盤輸入或對話。Kamkar計劃在GitHub上發布該工具的完整設計圖，使這項技術公開可用。這項專案強調了開源工具在提升安全研究並揭示物理與數位空間漏洞方面的潛力。</t>
  </si>
  <si>
    <t>https://www.wired.com/story/infrared-laser-microphone-keystroke-surveillance/</t>
  </si>
  <si>
    <r>
      <rPr>
        <rFont val="Arial"/>
        <color rgb="FF000000"/>
        <sz val="10.0"/>
      </rPr>
      <t>search.gov</t>
    </r>
    <r>
      <rPr>
        <rFont val="Arial"/>
        <color rgb="FF000000"/>
        <sz val="10.0"/>
      </rPr>
      <t xml:space="preserve"> via HN</t>
    </r>
  </si>
  <si>
    <t>A search engine by and for the federal government</t>
  </si>
  <si>
    <t>由美國聯邦政府並為聯邦政府服務的搜尋引擎，提出 4 個優點，或許是政府資訊服務所需要的重點。
專為政府打造 — 安全、合規，圍繞著政府網路發布的獨特環境而設計。
高度可調整性 — 無需開發人員 - 使用我們簡單的介面自行設計您的搜尋體驗。
貼心的客戶服務 — 從實施到 SEO，我們隨時為您提供協助。
無入門門檻 — 開始使用 Search.gov 沒有任何障礙。</t>
  </si>
  <si>
    <t>https://search.gov/</t>
  </si>
  <si>
    <t>SEO search US</t>
  </si>
  <si>
    <t>Amos：為什麼美國政府要自已架一個搜尋引擎？用 google 難道遇到什麼問題嗎？</t>
  </si>
  <si>
    <t>Open source tools to boost your productivity</t>
  </si>
  <si>
    <t>此文介紹一些提高生產力的開源工具
Penpot：設計和原型製作；
Cal.com：調度基礎設施；
Screenity：螢幕錄製；
Jitsi：視訊會議；
Nextcloud：雲端存儲；
Ghost: 出版； 
TabbyML：程式編寫 AI 助理；
Chatwoot：客戶服務管理；
PhotoPrism：照片管理；
Bitwarden：密碼管理；
AppFlowy：任務管理；
Dub.co：連結管理</t>
  </si>
  <si>
    <t>https://techcrunch.com/2024/08/11/a-not-quite-definitive-guide-to-open-source-alternative-software/?guccounter=1</t>
  </si>
  <si>
    <t>開源工具推廣</t>
  </si>
  <si>
    <t>OD, OS</t>
  </si>
  <si>
    <t>Open Textbook Initiative via HN</t>
  </si>
  <si>
    <t>Approved Textbooks</t>
  </si>
  <si>
    <t>美國數學協會推動開放課程倡議，將審核過的開源數學課本以列表方式陳現。</t>
  </si>
  <si>
    <t>https://textbooks.aimath.org/textbooks/approved-textbooks/</t>
  </si>
  <si>
    <t>Education textbook</t>
  </si>
  <si>
    <t>OS, OG</t>
  </si>
  <si>
    <t>Source? Workshop Highlights and Calls to Action to Inspire Progress for Global Sustainability</t>
  </si>
  <si>
    <t>聯合國七月之「OSPOs for Good」研討會探討開源下一步，激勵全球永續之進展
-該研討會以開源專案辦公室 (OSPO)是一個中心主題，發言者強調了它們在促進跨部門組織內部和組織之間的合作方面的關鍵作用。
-聯合國開源策略的三大支柱：內部使用政策、文化變革和發展。
-開源在對抗氣候變遷、金融機構合規性監管、數位公共管理上皆能帶來突破性的效益</t>
  </si>
  <si>
    <t>https://openssf.org/blog/2024/08/08/whats-next-for-open-source-workshop-highlights-and-calls-to-action-to-inspire-progress-for-global-sustainability/</t>
  </si>
  <si>
    <t>OSPO、聯合國</t>
  </si>
  <si>
    <t>Open Research via HN</t>
  </si>
  <si>
    <t>Findings – OpenResearch</t>
  </si>
  <si>
    <t>研究機構，致力於進行傳統研究環境中很少可能實現的基礎性和開放式研究計畫。</t>
  </si>
  <si>
    <t>https://www.openresearchlab.org/about</t>
  </si>
  <si>
    <t>research</t>
  </si>
  <si>
    <t>Amos：公共研究的模型？</t>
  </si>
  <si>
    <t>The News Stack via HN</t>
  </si>
  <si>
    <t>Microsoft: Linux Is the Top Operating System on Azure Today</t>
  </si>
  <si>
    <t>微軟：Linux 是當今 Azure 上的頂級作業系統
超過 60% 的 Azure Marketplace 產品是基於 Linux，總共約有 20,000 個服務，超過 60% 的 VM 核心是基於 Linux 建置。
為了運行這些服務，微軟維護了自己的核心 Azure Linux，並在 2023 年發布了自己的 Linux 版本Azure Linux 。</t>
  </si>
  <si>
    <t>https://thenewstack.io/microsoft-linux-is-the-top-operating-system-on-azure-today/</t>
  </si>
  <si>
    <t>AWS Azure Microsoft Linux</t>
  </si>
  <si>
    <t>Amos：開源的勝利</t>
  </si>
  <si>
    <t>An Open Course on LLMs, Led by Practitioners</t>
  </si>
  <si>
    <t>40 個免費的 LLM 課程</t>
  </si>
  <si>
    <t>https://hamel.dev/blog/posts/course/</t>
  </si>
  <si>
    <t>https://parlance-labs.com/education/</t>
  </si>
  <si>
    <t>LLM online course</t>
  </si>
  <si>
    <t>Amos：可作為會內教材？</t>
  </si>
  <si>
    <t>OD, DR</t>
  </si>
  <si>
    <t>States, Open Data and Personal Data Protection</t>
  </si>
  <si>
    <t>開放資料憲章和公民指南針之間的新聯合報告題為“公共資訊的獲取、開放資料和個人資料保護：它們如何相互對話？”現已可供下載。本文收集了 4 個歐洲國家和 4 個拉丁美洲國家的資料，以了解這兩個機構如何在不同的監管框架內互動。</t>
  </si>
  <si>
    <t>https://medium.com/opendatacharter/states-open-data-and-personal-data-protection-6f1fbe1b4313</t>
  </si>
  <si>
    <t>開放資料、個資保護</t>
  </si>
  <si>
    <t>Meta via HN</t>
  </si>
  <si>
    <t xml:space="preserve">Open Source AI Is the Path Forward </t>
  </si>
  <si>
    <t>祖克柏對於 Meta 開源 LLM 的想法
- 在高效能計算的早期，開放源始碼的 Linux 後來超越封閉的 Unix，成為行業標準，開放源碼帶來更多安全性、先進功能和更廣泛的生態系統。
- Meta 與多家企業合作，擴展開放源碼生態系統，Llama 模型將在各大雲端平台上可用，企業如 Scale.AI 和 Dell 已準備協助企業採用 Llama，推動其成為行業標準。
- 開放源碼 AI 可提升生產力、創造力和生活質量，推動經濟增長和科學研究。開源確保技術權力不集中於少數公司，並促進技術的安全和廣泛部署。
- 開源 AI 更具安全性，透明性允許更廣泛的審查和改進，能有效應對意外和故意的風險，政府將受益於支持開源技術，促進全球繁榮與安全。</t>
  </si>
  <si>
    <t>https://about.fb.com/news/2024/07/open-source-ai-is-the-path-forward/</t>
  </si>
  <si>
    <t>Meta Open source LLM UNIX Facebook</t>
  </si>
  <si>
    <t>The UNIX Pipe Card Game</t>
  </si>
  <si>
    <t>Unix 卡片遊戲，款教導孩子如何透過管道組合 UNIX 指令的紙牌遊戲。有PNP。
另外也收錄了其他程式教學的卡牌游戲資源。</t>
  </si>
  <si>
    <t>https://punkx.org/unix-pipe-game/</t>
  </si>
  <si>
    <t>boardgame 桌遊 教學</t>
  </si>
  <si>
    <t xml:space="preserve">PetaPixel </t>
  </si>
  <si>
    <t>Fujifilm Announces Linux SDK, Helping Drone Makers Use GFX100 Cameras</t>
  </si>
  <si>
    <t>Fujifilm Japan 開發了一款新的 Linux 軟體開發套件 (SDK)，用於遠端控制 Fujifilm GFX100 系列相機。無人機製造商對 Linux SDK 的添加特別感興趣，他們通常使用 Linux 作業系統進行工作。
隨著適用於 Fujifilm GFX100 相機的 Linux SDK 的出現，無人機製造商可以開發自訂相機控制軟體來滿足其特定需求。</t>
  </si>
  <si>
    <t>https://petapixel.com/2024/07/25/fujifilm-announces-linux-sdk-helping-drone-makers-use-gfx100-cameras/</t>
  </si>
  <si>
    <t>SDK Linux Fujifilm</t>
  </si>
  <si>
    <t>Amos：可以作為廠商擁抱開源可以拿到更多市場的案例？</t>
  </si>
  <si>
    <t>2024 Oct 09</t>
  </si>
  <si>
    <t>OS, IF, DR</t>
  </si>
  <si>
    <t>應用, 隱私, 技術</t>
  </si>
  <si>
    <t>Google’s Jigsaw open sources Altitude to help online platforms weed out extremist content</t>
  </si>
  <si>
    <t>Google Jigsaw 開源 Altitude，幫助線上平台清除極端主義內容
歐洲數位服務法案(DSA) 等立法和針對恐怖主義的內容規則要求科技公司刪除平台上非法內容，但許多小型數位公司的資源不足進行此做法。
谷歌的孵化器子公司 Jigsaw (前身為Google Ideas) 開源了一款反恐工具 Altitude，旨在幫助小型公司解決透過其線上平台共享的極端主義內容。該工具可協助審核者驗證其平台上的內容是否與第三方資料庫上標記的內容匹配，而不必單獨檢查每個來源。</t>
  </si>
  <si>
    <t>https://techcrunch.com/2024/07/22/googles-jigsaw-open-sources-altitude-to-help-online-platforms-weed-out-extremist-content/</t>
  </si>
  <si>
    <r>
      <rPr>
        <sz val="10.0"/>
      </rPr>
      <t xml:space="preserve">Altitude 
</t>
    </r>
    <r>
      <rPr>
        <color rgb="FF1155CC"/>
        <sz val="10.0"/>
        <u/>
      </rPr>
      <t>https://altitude.withgoogle.com/</t>
    </r>
    <r>
      <rPr>
        <sz val="10.0"/>
      </rPr>
      <t xml:space="preserve"> 
Github: Altitude
</t>
    </r>
    <r>
      <rPr>
        <color rgb="FF1155CC"/>
        <sz val="10.0"/>
        <u/>
      </rPr>
      <t>https://github.com/jigsaw-code/altitude</t>
    </r>
  </si>
  <si>
    <t>DSA、平台內容審查</t>
  </si>
  <si>
    <t>應用, 案例</t>
  </si>
  <si>
    <t>Backed by Microsoft, AWS and Meta, the Overture Maps Foundation launches its first open map datasets</t>
  </si>
  <si>
    <t>在 Microsoft、AWS 和 Meta 的支持下，Overture Maps Foundation 推出了首個開放地圖資料集
Overture 地圖基金會於 2022 年 12 月成立，旨在對抗 Google 對線上地圖的壟斷。
-核心指導委員會也將定位技術的堅定支持者 TomTom 列為成員。其他「普通」和「貢獻者」成員包括 Esri、Hyundai、Niantic 和 Tripadvisor。主辦單位 Linux 基金會也提供了一些工程支援。
-資料來源包括: googlemap的開放資料、OpenStreetMap、政府資料、FB/Meta地圖、Esri、微軟等企業。
- 組合資料集需要處理: 相似但用途不同的資料集如何整合、確認建築物、地址或地點的記錄與其他記錄相同</t>
  </si>
  <si>
    <t>https://techcrunch.com/2024/07/24/backed-by-microsoft-aws-and-meta-the-overture-maps-foundation-launches-first-open-map-datasets/</t>
  </si>
  <si>
    <t>https://overturemaps.org/</t>
  </si>
  <si>
    <t>Overture Maps Foundation</t>
  </si>
  <si>
    <t>One man decided to take on Google Maps; 20 years later OpenStreetMap is still going strong</t>
  </si>
  <si>
    <t>OpenStreetMap 已經 20 週年，擁有超過1000 萬貢獻者，繪製並微調了從街道和建築物到河流、峽谷以及構成我們的建築和自然環境的所有其他內容。亦可在野外繪製整區的地圖。
此文引用OpenStreetMap創作者與貢獻者觀點：
-創作者: OpenStreeetmap 成功地迴避了維基百科所存在的幾乎所有問題，因為它只代表事實而不是觀點。同時，也讓「位置」變成所有人都可擁有，而非被企業巨頭壟斷。
- 貢獻者: 地點是一種共享資源，當你將所有權力賦予單一實體時，你不僅賦予他們告訴你位置的權力，還賦予他們塑造位置的權力</t>
  </si>
  <si>
    <t>https://techcrunch.com/2024/08/10/one-man-decided-to-take-on-google-maps-20-years-later-openstreetmap-is-still-going-strong/</t>
  </si>
  <si>
    <t xml:space="preserve">OpenStreetMap </t>
  </si>
  <si>
    <t>政策, 研究, 應用</t>
  </si>
  <si>
    <t>OSI via HN</t>
  </si>
  <si>
    <t>DSOP – Delayed Open Source Publication</t>
  </si>
  <si>
    <t>OSI 發佈一篇針對延遲開源發布 (DOSP）的歷史進行選擇性調查之報告。
DOSP（Delayed Open Source Publication）是首先在專有授權下分發或公開部署軟體，然後隨後在開源授權下有計劃地發布該軟體原始碼的做法。
報告中提及「 專有加速，最終開源」、「贊助延遲」等概念，還有討論「 商業源碼授權條款（BUSL）」，最後引至 BUSL、AGPL 之間的替代可能性。</t>
  </si>
  <si>
    <t>https://opensource.org/delayed-open-source-publication</t>
  </si>
  <si>
    <t>https://opensource.org/wp-content/uploads/2024/01/Delayed_Open_Source_Publication.pdf</t>
  </si>
  <si>
    <t>License AGPL BUSL DOSP</t>
  </si>
  <si>
    <t>Amos：也有可能大家就不買產品，等開源在用，間接削減商品收入？</t>
  </si>
  <si>
    <t>法制化, 案例, 定義</t>
  </si>
  <si>
    <t>AI music startup Suno claims training model on copyrighted music is ‘fair use’</t>
  </si>
  <si>
    <t>美國唱片工業協會 (RIAA)最近對音樂生成新創公司 Udio 和 Suno 提起訴訟，其中 Suno 聲稱使用版權音樂訓練的 AI 模型是“合理使用”。Suno執行長認為，根據「開放網路」上的資料訓練人工智慧模型與「孩子在聽完搖滾樂後寫自己的搖滾歌曲」並沒有什麼不同。
此文認為此訴訟的判決可能會對人工智慧模型訓練與合理使用問題建立有影響力之先例。</t>
  </si>
  <si>
    <t>https://techcrunch.com/2024/08/01/ai-music-startup-suno-response-riaa-lawsuit/</t>
  </si>
  <si>
    <t>治理, 授權</t>
  </si>
  <si>
    <t>Dicebreaker via HN</t>
  </si>
  <si>
    <t>Dungeons &amp; Dragons will release its 2024 ruleset under a Creative Commons licence</t>
  </si>
  <si>
    <t>D&amp;D 將以 CC-BY-4.0 釋出 2024 版規則手冊。
過去幾年發行方試圖緊縮既有 OGL（Open Gaming License）。經玩家抗爭後，發行方道歉並承諾不會緊縮授權。今年的釋出更以 CC-BY 釋出。</t>
  </si>
  <si>
    <t>https://www.dicebreaker.com/games/dungeons-and-dragons-5e/news/dungeons-and-dragons-2024-srd-wont-be-another-ogl-fiasco</t>
  </si>
  <si>
    <t>D&amp;D License boardgame OGL CC-BY</t>
  </si>
  <si>
    <t>案例, 授權</t>
  </si>
  <si>
    <t>Elastic blog via HN</t>
  </si>
  <si>
    <t>Elasticsearch is Open Source, Again</t>
  </si>
  <si>
    <t>Elasticsearch 再次回歸開源，新增了 AGPL 授權，與現有的 ELv2 和 SSPL 授權並列。Elastic 創始人 Shay Banon 解釋 Elastic 從未放棄開源社區，但由於 AWS 對 Elasticsearch 的使用造成的市場混亂，將授權設下更多限制是必要的。現在，市場混亂已經基本解決，且 Amazon 投資於自己的分叉，Elastic 再次擁抱開源。選擇 AGPL，Elastic 希望支持開源生態系統，並使用 OSI 認證的開源授權。</t>
  </si>
  <si>
    <t>https://www.elastic.co/blog/elasticsearch-is-open-source-again</t>
  </si>
  <si>
    <t>License AGPL AWS</t>
  </si>
  <si>
    <t>val.town Blog via HN</t>
  </si>
  <si>
    <t>Joining the Open Source Pledge</t>
  </si>
  <si>
    <t>企業 Val Town 強調其對開源軟體的依賴，並宣佈參與「開源承諾」，致力於為其依賴的各類開源專案提供資金支持。2024 年他們已經捐贈 9,600 美元，超過每位全職員工每年 2,000 美元的目標。捐款對象包括 esm.sh、Fastify、CodeMirror 等專案。他們的貢獻展現了持續支援開源生態系統的努力，這些系統是其技術框架的基礎。</t>
  </si>
  <si>
    <t>https://blog.val.town/blog/oss/</t>
  </si>
  <si>
    <t>#255 OSSF 也有提過請大家投資關鍵軟體基礎設施</t>
  </si>
  <si>
    <t>研究, 應用</t>
  </si>
  <si>
    <t>Dunya Kirkali via HN</t>
  </si>
  <si>
    <t>Writing a book in the age of open source</t>
  </si>
  <si>
    <t>Dunya Kirkali 和 Maxim Schepelin 紀錄他們透過開源工具寫書的旅程，重點是使用開源工具來優化寫作過程。他們最初拒絕使用 Microsoft Word，嘗試了 Google Docs 和 Markdown，但最終選擇了 Asciidoc，因其簡單性和高級功能。他們還開發了一個名為 Letterpress 的開源工具，幫助其他人自出版，提供生成 PDF 和 EPUB 的自動化設置。文章強調開源工具在使寫書更易於接觸和高效方面的價值。</t>
  </si>
  <si>
    <t>https://blog.incrementalforgetting.tech/p/sculpting-a-book-the-chisel</t>
  </si>
  <si>
    <t xml:space="preserve">The slow evaporation of the free/open source surplus
</t>
  </si>
  <si>
    <t>作者提出他認為為何開源貢獻者日益減少的原因。過去軟體工程師 CP 值高，可以短時間換取高報酬，因此有多餘時間投入開源開發。但目前產業環境改變如下：
- 高利率時代導致進入軟體業的資金減少
- 減少對非「AI」軟體的投資
- 新冠疫情成長回歸平均水平，引發對科技業成長的重新評估
- 裁員風潮
- OSS 倦怠
- 多年的高 CP 值讓投資人考慮減少給工程師的薪資</t>
  </si>
  <si>
    <t>https://www.baldurbjarnason.com/2024/the-slow-evaporation-of-the-foss-surplus/</t>
  </si>
  <si>
    <t>2024 Oct 16</t>
  </si>
  <si>
    <t>cramr via HN</t>
  </si>
  <si>
    <t>Open Source is not a Business Model</t>
  </si>
  <si>
    <t>開源是一種可以整合到企業策略中的軟體分發模式。文章說企業開源的目的是擴大市場潛力並降低客戶的風險，不只是基於社群驅動的理念。
作者認為開源授權決定了產品的包裝行銷，影響公司在鼓勵程式廣泛擴散的同時保有控制權。同時維持商業價值與開源授權，對於創造使用者和貢獻者雙方的互利結果非常關鍵，正如 Fair Source（一種 DOSP 授權）所呈現的樣貌，在可近用性與商業利益的護城河之間找到平衡。
這篇文章鼓勵軟體公司考慮更靈活的授權條款，他們在不完全符合傳統開源意識形態的情況下，同時滿足商業目標和使用者的軟體自由。</t>
  </si>
  <si>
    <t>https://cra.mr/open-source-is-not-a-business-model/</t>
  </si>
  <si>
    <t>DOSP, fair source</t>
  </si>
  <si>
    <r>
      <rPr>
        <sz val="10.0"/>
      </rPr>
      <t xml:space="preserve">Amos: </t>
    </r>
    <r>
      <rPr>
        <color rgb="FF1155CC"/>
        <sz val="10.0"/>
        <u/>
      </rPr>
      <t>#445</t>
    </r>
  </si>
  <si>
    <t>Open Knowledge via Ian</t>
  </si>
  <si>
    <t>‘A vicious circle is preventing openness from flourishing in Francophone Africa’</t>
  </si>
  <si>
    <t>開放知識基金會團隊與非洲法語國家的開放知識網路成員之對談。
－開放資料對非洲公民社會來說是一個相對較新的概念，尤其在獨裁政權反對透明的狀況下有更多挑戰。
－一個國家的民主狀況與其促進透明度和開放資料的方式之間有相關性，在某些國家只是要了解公共支出的費用就有可能被安上違反國家安全罪名。
－為開放知識計畫找到資金非常困難，捐助者對此區域興趣不高。
－開放知識主要語言是英文，目前還在努力開發法語文件或技術支持，因語言而導致推廣困難。
－開放資料是促進民主、減少貪腐的一種方式，目前發現可行策略是為已經進行中的計畫提供資金，打造計畫可行與有效性。
－非洲開放知識相關活動不多，布吉納法索已有一些作法，等數個國家較為活躍，但中非幾乎無活動。</t>
  </si>
  <si>
    <t>https://blog.okfn.org/2024/08/01/a-vicious-circle-is-preventing-openness-from-flourishing-in-francophone-africa/</t>
  </si>
  <si>
    <t>開放知識</t>
  </si>
  <si>
    <t>I Solve Problems</t>
  </si>
  <si>
    <t>作者為 IT 從業者，偏好用 BSD 而非使用 Linux。文中有許多個人觀察。
- Linux 在過去幾年中取得了重大發展，但這已經轉向特定參與者的興趣（主要是雲端提供者），而不是技術原因。
- 許多 Linux 發行版和社群專注不斷“以新換舊”，但有時似乎沒有實際好處。
- 圍繞 Linux 的龐大業務已經發展起來：認證、培訓、滲透測試、認證平台——社群正在失去決策權。這與早期的情況相去甚遠。
- 今天的Linux 受到許多合規性要求的約束。
- 根據作者的經驗，轉向 BSD 意味著獲得更穩定、更容易升級、各部分更一致的系統。他們不追逐當下的炒作，就像早期的 Linux 一樣。
- 作者管理的 78% 的虛擬機器管理程式在 FreeBSD 上運行，66% 的工作負載在其中一個 BSD 上運行。沒有一個客戶遇到重大問題。沒有人抱怨性能或可靠性。所有回饋都是正面的。</t>
  </si>
  <si>
    <t>https://it-notes.dragas.net/2024/10/03/i-solve-problems-eurobsdcon/</t>
  </si>
  <si>
    <t xml:space="preserve">FreeBSD, BSD, Linux, distribution, Play store, </t>
  </si>
  <si>
    <t>Amos：開源最主流的 Linux 系統，目前是否已經慢慢脫離社群了呢？是否慢慢會由幾個 big tech 掌握？</t>
  </si>
  <si>
    <t>HN</t>
  </si>
  <si>
    <t>Ask HN: Should I open source my licensing server?</t>
  </si>
  <si>
    <t>這個討論串在研究是否應該將一個授權伺服器套件開源，大家各有立場：
- 開源的好處：開源可能會暴露漏洞，但也會有社群的回饋與貢獻，特別是在安全性改進方面。許多參與者認為，開源能夠增加系統的透明度，讓使用者更信任它。
- 開源的缺點：有人擔心開源可能會讓駭客找到濫用的漏洞。有人建議可以進行分階段發布，或是與研究人員進行內部測試再全面開源。
- 開源成功案例：有些成功案例如 Keygen.sh，其開源後吸引了社群貢獻，並最終在企業市場取得成功。</t>
  </si>
  <si>
    <t>https://news.ycombinator.com/item?id=41488563</t>
  </si>
  <si>
    <t>open source, community</t>
  </si>
  <si>
    <t>Rocket9labs via HN</t>
  </si>
  <si>
    <t>On the importance of F-Droid</t>
  </si>
  <si>
    <t>F-Droid：Android開源應用商店，Google Play替代方案。
- Google Play 主導 Android 應用分發，控制開發者
- Android 預設 Google Play，用戶可能不知其他選擇
-  Google Play 不允許第三方應用商店分發，在上面找不到 F-droid
- 非 Google Play 應用安裝會觸發警告
-  Google Play 強制更新 API 等級，可能導致軟體不必要耗能，或舊軟體下架
- 作者視 F-Droid 為擺脫 Google Play 束縛的機會</t>
  </si>
  <si>
    <t>https://rocket9labs.com/post/on-the-importance-of-f-droid/</t>
  </si>
  <si>
    <t>F-droid, Android, Playstore, distrubution, vendor-lockin,third party, API, app, update</t>
  </si>
  <si>
    <r>
      <rPr>
        <sz val="10.0"/>
      </rPr>
      <t xml:space="preserve">Amos：Android 上所顯現的 vendor-lockin 問題？
可與 </t>
    </r>
    <r>
      <rPr>
        <color rgb="FF1155CC"/>
        <sz val="10.0"/>
        <u/>
      </rPr>
      <t>#440</t>
    </r>
    <r>
      <rPr>
        <sz val="10.0"/>
      </rPr>
      <t xml:space="preserve"> 配合分享？</t>
    </r>
  </si>
  <si>
    <t>The European Conservative via Ian</t>
  </si>
  <si>
    <t>New EU Regulation on Healthcare Data Threatens Privacy and Security</t>
  </si>
  <si>
    <t>歐盟關於醫療資料的新法規威脅隱私和安全
歐洲議會最近通過了歐洲健康資料空間 (EHDS) 立法和人類來源物質 (SoHO) 法規。EHDS 旨在透過集中和標準化各成員國的醫療數據來徹底改變醫療保健服務，從而促進患者記錄的訪問並實現無縫跨境醫療保健。理論上，這與旨在確保醫療程序中使用的物質的安全和品質的 SoHO 法規相結合，可能預示著歐盟醫療保健效率和安全的新時代。
然而，批判性地審查資料收集的範圍以及對資料隱私和個人自由的潛在影響至關重要。必須精心平衡追求公共衛生利益和保護公民隱私權之間的平衡，以防止當局可能越權並保障基本自由。</t>
  </si>
  <si>
    <t>https://europeanconservative.com/articles/analysis/new-eu-regulation-on-healthcare-data-threatens-privacy-and-security/</t>
  </si>
  <si>
    <t>醫療隱私、資料共享</t>
  </si>
  <si>
    <t>OG, DR</t>
  </si>
  <si>
    <t>Engadget</t>
  </si>
  <si>
    <t>Meta fined $102 million for storing passwords in plain text</t>
  </si>
  <si>
    <t>愛爾蘭資料保護委員會 (DPC) 在結束對 2019 年安全漏洞的調查後對 Meta 處以 9,100 萬歐元的罰款。該公司錯誤地以純文字形式儲存用戶密碼。
內部消息透露該事件涉及多達 6 億個密碼。部分密碼以易於讀取的格式儲存在該公司的伺服器中。 超過20,000 名Facebook 員工也可以搜尋這些密碼。</t>
  </si>
  <si>
    <t>https://www.engadget.com/big-tech/meta-fined-102-million-for-storing-passwords-in-plain-text-110049679.html</t>
  </si>
  <si>
    <t>Ireland, PDC, meta, password, leak,</t>
  </si>
  <si>
    <t>Amos：跟 OPEN 較無關，但和之前的新聞相關，先保留</t>
  </si>
  <si>
    <t>OG, OD</t>
  </si>
  <si>
    <t>A&amp;O Shearman via Ian</t>
  </si>
  <si>
    <t>European Commission publishes second report on application of GDPR</t>
  </si>
  <si>
    <t>歐盟委員會發布關於 GDPR 應用的第二份報告，說明能有效實施 GDPR 所需的一系列行動，包含：
－GDPR 的一致解釋和應用
－增加資料保護機構的資源
－成員國應提供DPA 調查工具以進行執法（透過警告、譴責與罰款作為糾正措施）
－DPA 應與 EDPB 合作制定簡明實用的指南，供無法律背景的個人使用。
－增加提高資料主體 (包含兒童) 行使其權利的創新方式
－國際資料轉移</t>
  </si>
  <si>
    <t>https://www.aoshearman.com/en/insights/ao-shearman-on-data/european-commission-publishes-second-report-on-application-of-gdpr</t>
  </si>
  <si>
    <r>
      <rPr>
        <sz val="10.0"/>
      </rPr>
      <t xml:space="preserve">歐盟第二份GDPR應用報告
</t>
    </r>
    <r>
      <rPr>
        <color rgb="FF1155CC"/>
        <sz val="10.0"/>
        <u/>
      </rPr>
      <t>https://eur-lex.europa.eu/legal-content/EN/TXT/?uri=COM:2024:357:FIN&amp;qid=1721897017650</t>
    </r>
  </si>
  <si>
    <t>GDPR, Europe</t>
  </si>
  <si>
    <t>The latest on the WordPress fight over trademarks and open source</t>
  </si>
  <si>
    <t>完整彙整了 WordPress 共同創辦人 Matt Mullenweg 與提供 WordPress的代管服務 WP Engine 之間的爭端。Mullenweg 指控 WP Engine 剝削 WordPress 生態系統而未充分貢獻。此爭議發展成法律糾紛，WP Engine 對 Automattic 和 Mullenweg 提出商標濫用與勒索的訴訟，Mullenweg 則限制 WP Engine 存取 WordPress.org 資源。這場糾紛突顯了開源社群對於商業利用開源軟體與回饋社群的平衡問題。</t>
  </si>
  <si>
    <t>https://www.theverge.com/2024/10/4/24262410/wordpress-fight-trademarks-open-source-mullenweg</t>
  </si>
  <si>
    <t>Wordpress, WPEngine, Automattic</t>
  </si>
  <si>
    <t>定義, 推動</t>
  </si>
  <si>
    <t>ZDNET via Ian</t>
  </si>
  <si>
    <t>How open source is steering AI down the high road</t>
  </si>
  <si>
    <r>
      <rPr>
        <rFont val="Arial"/>
        <color theme="1"/>
        <sz val="10.0"/>
      </rPr>
      <t>Linux 基金會開發了</t>
    </r>
    <r>
      <rPr>
        <rFont val="Arial"/>
        <b/>
        <color theme="1"/>
        <sz val="10.0"/>
      </rPr>
      <t xml:space="preserve">模型開放框架 (Model Openness Framework, MOF) </t>
    </r>
    <r>
      <rPr>
        <rFont val="Arial"/>
        <color theme="1"/>
        <sz val="10.0"/>
      </rPr>
      <t>，此框架提供了一個開放的框架來幫助回答這些問題——鑑於LLM生產和部署中存在許多移動部件，這並不是一件容易的事。 Linux 基金會創建了一個分級系統，以幫助了解哪些元件是開放的並包含在模型中。
第一級，是一個開放的科學定義，其中使用的資料和每個組件以及所有指令都需要以完全相同的方式實際創建您自己的模型。 
第二級，是其中的一個子集，大多數都是開放的，但注意並非所有內容都開放。
第三級，有資料可能不可用的區域，但描述資料集可用。</t>
    </r>
  </si>
  <si>
    <t>https://www.zdnet.com/article/how-open-source-is-steering-ai-down-the-high-road/#ftag=RSSbaffb68</t>
  </si>
  <si>
    <t>LLM, MOF, Model Openness Framework</t>
  </si>
  <si>
    <t>MIT News via HN</t>
  </si>
  <si>
    <t>Study: Transparency is often lacking in datasets used to train large language models</t>
  </si>
  <si>
    <t>訓練大型語言模型使用的資料集集合，混合數千個來源的不同資料。但當資料集被重組時，有關其來源及授權資訊經常丟失或混淆。不僅引起法律和道德問題，還會損害模型的效能。
為了提高資料透明度，麻省理工學院和其他多學科研究人員團隊對熱門託管網站上的 1,800 多個文字資料集進行了系統審核。他們發現，超過 70% 的資料集遺漏部份授權訊息，而大約 50% 的資料集包含包含錯誤的資訊。
MIT 開發名為 Data Provenance Explorer 的用戶友好工具，可自動生成易於閱讀的摘要, 包含資料集創建者、來源、授權和允許用途等資訊。
研究人員還發現對 2023 年和 2024 年創建的資料集的限制急劇增加，這可能是由於學術界擔心他們的資料集可能被用於非預期的商業目的。</t>
  </si>
  <si>
    <t>https://news.mit.edu/2024/study-large-language-models-datasets-lack-transparency-0830</t>
  </si>
  <si>
    <r>
      <rPr>
        <color rgb="FF1155CC"/>
        <sz val="10.0"/>
        <u/>
      </rPr>
      <t>https://www.dataprovenance.org/</t>
    </r>
    <r>
      <rPr>
        <sz val="10.0"/>
      </rPr>
      <t>/</t>
    </r>
  </si>
  <si>
    <t>LLM</t>
  </si>
  <si>
    <t>Google must crack open Android for third-party stores, rules Epic judge</t>
  </si>
  <si>
    <t>這篇文章討論了「Epic Games v. Google」一案的法律裁決，其中法官裁定 Google 必須允許第三方 App 商城存取並分發 Google Play 商店中的 App，這將直接摧毀Google 對 Android App 商城的壟斷結構。法院還命令 Google 停止要求開發者僅能使用 Google Play 計費，並允許替代付款方式和App 下載管道。此舉將促進創新並擴大使用者和開發者在 Android 開源生態系中的自由度 。</t>
  </si>
  <si>
    <t>https://www.theverge.com/policy/2024/10/7/24243316/epic-google-permanent-injunction-ruling-third-party-stores</t>
  </si>
  <si>
    <t>Google, Play store, app, android, epic games</t>
  </si>
  <si>
    <r>
      <rPr>
        <sz val="10.0"/>
      </rPr>
      <t>Amos：</t>
    </r>
    <r>
      <rPr>
        <color rgb="FF1155CC"/>
        <sz val="10.0"/>
        <u/>
      </rPr>
      <t>#433</t>
    </r>
    <r>
      <rPr>
        <sz val="10.0"/>
      </rPr>
      <t xml:space="preserve"> 文章的作者提議可以趁這波推動大家使用 F-droid</t>
    </r>
  </si>
  <si>
    <t>We're a big step closer to defining open source AI - but not everyone is happy</t>
  </si>
  <si>
    <t>OSI 預計在 10 月All Things Open 會議提出最新的 OSI 開源 AI 定義草案 0.0.9，草案中重要變化：
－明確的定義：確保所有原件與整個人工智慧系統遵守開源原則。
－訓練資料的作用：分為開放、公開和不可共享的非公開資料 (open, public, and unshareable non-public data)，每種資料都有具體的指導方針，以提高透明度和對人工智慧系統偏差的理解。
－清單分離：授權條款評估清單已與主定義文件分離，與模型開放性框架(MOF) 保持一致。這種分離允許集中討論識別開源人工智慧，同時保持定義中的一般原則。</t>
  </si>
  <si>
    <t>https://www.zdnet.com/article/were-a-big-step-closer-to-defining-open-source-ai-but-not-everyone-is-happy/#ftag=RSSbaffb68</t>
  </si>
  <si>
    <t>開源AI 定義, LLM, MOF, Model Openness Framework</t>
  </si>
  <si>
    <t>MusicBrainz via HN</t>
  </si>
  <si>
    <t>MusicBrainz: An open music encyclopedia</t>
  </si>
  <si>
    <t>MusicBrainz 是一個開放的音樂百科全書，它收集音樂元資料並將其提供給公眾。MusicBrainz 的目標是：
1. 音樂資訊的最終來源，允許任何人在開放授權下貢獻和發布資料。
2. 透過提供可靠且明確的音樂辨識形式，成為音樂的通用語言，使人和機器能夠就音樂進行有意義的對話。
MusicBrainz 由MetaBrainz 基金會經營，總部位於加州的 501(c)(3) 免稅非營利組織，致力於保持 MusicBrainz 的免費和開源。</t>
  </si>
  <si>
    <t>https://musicbrainz.org/</t>
  </si>
  <si>
    <t xml:space="preserve">music, metadata, open source license </t>
  </si>
  <si>
    <t>[Spotlight] Exploring Open Data Rankings and Measurements</t>
  </si>
  <si>
    <r>
      <rPr>
        <rFont val="Arial"/>
        <color theme="1"/>
        <sz val="10.0"/>
      </rPr>
      <t xml:space="preserve">此文深入探討開放資料排名的重要性，探討其背後的方法，並討論它們所揭示的全球透明度狀況
</t>
    </r>
    <r>
      <rPr>
        <rFont val="Arial"/>
        <b/>
        <color theme="1"/>
        <sz val="10.0"/>
      </rPr>
      <t>全球資料晴雨表 (Global Data Barometer, GBD)</t>
    </r>
    <r>
      <rPr>
        <rFont val="Arial"/>
        <color theme="1"/>
        <sz val="10.0"/>
      </rPr>
      <t xml:space="preserve">，提供了一個基準，使政府能夠根據「資料造福公共利益」的概念調整政策，從而培育更健康的資料生態系統。
</t>
    </r>
    <r>
      <rPr>
        <rFont val="Arial"/>
        <b/>
        <color theme="1"/>
        <sz val="10.0"/>
      </rPr>
      <t>Open Data Watch 開放資料觀察</t>
    </r>
    <r>
      <rPr>
        <rFont val="Arial"/>
        <color theme="1"/>
        <sz val="10.0"/>
      </rPr>
      <t xml:space="preserve">運用開放資料清單 (ODIN) 的結果和方法，衡量近 200 個國家官方統計資料覆蓋率和開放性的全球指數。各國統計主管單位、世界銀行與聯合國都使用ODIN 作為監測開放資料措施進展的工具。
</t>
    </r>
    <r>
      <rPr>
        <rFont val="Arial"/>
        <b/>
        <color theme="1"/>
        <sz val="10.0"/>
      </rPr>
      <t>OECD OURdata Index</t>
    </r>
    <r>
      <rPr>
        <rFont val="Arial"/>
        <color theme="1"/>
        <sz val="10.0"/>
      </rPr>
      <t xml:space="preserve"> ，此為開放、有用且可重複使用的資料索引。現為評估 40 多國政府設計和實施國家開放政府資料政策努力程度的重要基準。透過三個關鍵支柱評估國家開放資料措施：資料可用性、資料可存取性和政府對資料重用的支持。以及評估 10 個主題領域的 82 個高價值資料集的可用性和可訪問性。</t>
    </r>
  </si>
  <si>
    <t>https://medium.com/opendatacharter/spotlight-exploring-open-data-rankings-and-measurements-e3f755e4ba4d</t>
  </si>
  <si>
    <t>開放資料排名, Global Data Barometer, GBD, Open Data Watch, OECD OURdata Index</t>
  </si>
  <si>
    <t>GNU Boot via HN</t>
  </si>
  <si>
    <t>Nonfree software found in GNU Boot releases again, many distros affected.</t>
  </si>
  <si>
    <t>這篇文章討論了 GNU Boot 版本中再次發現的非自由原始碼問題，這影響了許多 GNU/Linux 發行版，需要進行大量的手動修補。</t>
  </si>
  <si>
    <t>https://savannah.gnu.org/news/?id=10684</t>
  </si>
  <si>
    <t>gnu, nonfree software, GNU boot</t>
  </si>
  <si>
    <t>Some startups are going ‘fair source’ to avoid the pitfalls of open source licensing</t>
  </si>
  <si>
    <r>
      <rPr>
        <sz val="10.0"/>
      </rPr>
      <t xml:space="preserve">開發軟體公司 Sentry 最近推出了一個名為「公平來源」（Fair source）的新授權類別。 該模式是處在開放和專有之間的治理模式。
「開源不是商業模式——開源是一種分發模式，它主要是一種軟體開發模式，」
BUSL 授權遵循了許多開源授權的精神：用戶可以自行託管和修改代碼，而無需向創建者支付一毛錢。他們只是無法將產品作為競爭服務進行商業化。
目前，主要建議的公平原始碼授權是功能原始碼授權 ( FSL )， Sentry 本身去年推出了該授權，作為 BUSL 的更簡單替代方案。然而，BUSL 本身現在也被指定為公平來源， </t>
    </r>
    <r>
      <rPr>
        <color rgb="FF1155CC"/>
        <sz val="10.0"/>
        <u/>
      </rPr>
      <t>Keygen.sh</t>
    </r>
    <r>
      <rPr>
        <sz val="10.0"/>
      </rPr>
      <t xml:space="preserve"> 貢獻的全新公平核心授權 ( FCL ) 也被指定為公平來源，兩者都包含在內以支援不同專案的需求。
所有公平來源授權都應具有三個核心規定：它[代碼]應該公開可供閱讀；允許第三方在「最低限度」的情況下使用、修改和重新分發；並且有延遲開源發布（DOSP）規定，這意味著它在預先定義的時間段後轉換為真正的開源授權。
FSL 授權，該期限為兩年；對於BUSL，預設期限為四年。</t>
    </r>
  </si>
  <si>
    <t>https://techcrunch.com/2024/09/22/some-startups-are-going-fair-source-to-avoid-the-pitfalls-of-open-source-licensing/</t>
  </si>
  <si>
    <t>Fairsource, FSL, FCL, BUSL, DOSP, license</t>
  </si>
  <si>
    <t>2024 Nov 5</t>
  </si>
  <si>
    <t>Accel, Docker and Redis discussed what’s next in open source as a business model</t>
  </si>
  <si>
    <t>如何在與開源社群保持信任的同時，建立永續的商業模式，像 Docker 和 Redis 等公司選擇採用保護性授權，限制商業雲端使用，但不影響社群核心的開放性，公司選擇開源部分組件，並將針對企業版的進階功能作為專有軟體，以支撐商業模式。
儘管許多 AI 模型被標示為「開放原始碼」，但由於涉及訓練數據、程式碼和社群貢獻等因素，定義變得更為複雜。隨著像 Meta LLaMA 這類自訂授權的出現，這些授權限制了大規模雲端服務的壟斷性使用，顯示出傳統開放原始碼定義與保護社群驅動專案不受科技巨頭剝削之間的矛盾。
在建立社群信任和真誠互動方面，參與者多次強調：主動考慮貢獻、積極參與展示和黑客松活動等，對於培養可持續的生態系統至關重要。這樣的互動不僅能促進社群參與，還能促進業務成長。</t>
  </si>
  <si>
    <t>https://techcrunch.com/video/industry-leaders-break-down-whats-next-in-open-source-as-a-business-model/</t>
  </si>
  <si>
    <t>Simplify SBOM Management for Developers: Introducing Bomctl</t>
  </si>
  <si>
    <t xml:space="preserve">Bomctl 是款幫助開發者輕鬆地管理軟體材料清單（SBOM）的開源工具，支援多格式和跨 SBOM 文件管理。這個工具由 OpenSSF 的 Security Tooling working group 開發。
Bomctl 以 protobom 資料庫作為核心資料模型，提供方便指令如合併、編輯和拆分等，並計劃支援 OpenSSF 的 SBOMit 規範，以提高 SBOM 的驗證。
</t>
  </si>
  <si>
    <t>https://openssf.org/blog/2024/09/05/simplify-sbom-management-for-developers-introducing-bomctl/</t>
  </si>
  <si>
    <t>The Register via HN</t>
  </si>
  <si>
    <t>Open source maintainers underpaid, swamped by security, going gray</t>
  </si>
  <si>
    <t>開源軟體套件安全公司 Tidelift 週二發布了2024 年開源維護者狀況報告，這是由 400 多名維護者回答的調查結果。
Tidelift 表示，大多數開源專案維護者的工作沒有報酬，在安全性方面花費的時間是三年前的三倍，並且對 xz 後門之後的貢獻者的信任度降低。
報告中有趣的數字：
- 45% 的受訪者擔任維護者的時間超過 10 年
- 60% 自稱是無薪愛好者的受訪者比例
- 產業安全標準：OpenSSF 記分卡在維護者中的認知度最高 (40%)
- 維護者的收入仍主要來自
-- 捐贈（25%，來自 GitHub Sponsors 等計畫）
-- 明確包含開源維護的公司薪資（24%）
-- 來自 Tidelift（19%）
-- 來自公司（5%）
-- 開源基金會（3%）
-- 政府或其他公共實體（1%）的直接付款</t>
  </si>
  <si>
    <t>https://www.theregister.com/2024/09/18/open_source_maintainers_underpaid/</t>
  </si>
  <si>
    <t>https://explore.tidelift.com/2024-survey</t>
  </si>
  <si>
    <t>Website via HN</t>
  </si>
  <si>
    <t>The Architecture of Open Source Applications</t>
  </si>
  <si>
    <t>有關開源軟體架構的相關書籍，CC BY 3.0 釋出</t>
  </si>
  <si>
    <t>https://aosabook.org/en/</t>
  </si>
  <si>
    <t>EU via HN</t>
  </si>
  <si>
    <t>Open research Europe
Towards a collective open access publishing service : scoping report</t>
  </si>
  <si>
    <t>歐盟出版的報告，提出了歐洲開放研究作為公共利益的集體非營利開放取用出版服務的願景。此願景是在重要的政策制定過程中產生的，這些政策旨在使出版和內容獲取的成本更加公平、透明和可持續，並加速改革研究評估的活動。該報告包括願景的基本原理、歐盟政策和政治背景、集體 ORE 運作的價值主張和原則。</t>
  </si>
  <si>
    <t>https://op.europa.eu/en/publication-detail/-/publication/3603e219-6a65-11ef-a8ba-01aa75ed71a1/language-en</t>
  </si>
  <si>
    <t>美國上訴法院裁決，Internet Archive的電子書借閱並不屬於合理使用</t>
  </si>
  <si>
    <t>開放圖書館的出借原則，是採行通用的「可控數位借閱」（Controlled Digital Lending，CDL）原則，亦即館內有幾本實體書，就能借出多少數位書籍，IA 亦與其它實體圖書館合作，將它們的藏書算進CDL的額度中。
然而，當COVID-19疫情使得全球大多數的圖書館都關門防疫時，IA在2020年3月推出國家緊急圖書館（National Emergency Library），完全打破CDL原則，每本電子書最多可同時被1萬名使用者借閱。四大出版商指控，IA在未取得授權也未付款的狀態下，擅自掃描了具有版權的圖書，還把它們上傳到公開的伺服器上供所有人借閱。
IA以合理使用作為辯護的理由。然而，法官認為不算是合理使用。而且IA所複製的作品都受到版權保護，提供免費的替代品的確侵蝕了出版商的電子書收益。IA則說對此一判決感到很失望，正在審查法院的意見，也會繼續捍衛圖書館擁有、借閱及保存書籍的權利，還發動連署以要求出版業者恢復從IA中移除的書籍存取權。</t>
  </si>
  <si>
    <t>https://www.ithome.com.tw/news/164862</t>
  </si>
  <si>
    <t>TechFreedom via HN</t>
  </si>
  <si>
    <t>NIST Draft Guidance Inherently Hostile to Open-Source AI Models</t>
  </si>
  <si>
    <t>NIST 指南草案本質上對開源人工智慧模式懷有敵意
TechFreedom 對美國國家標準與技術研究院 (NIST) 發布的人工智慧安全指南草案和最佳實踐提出了評論，以回應關於安全、可靠和值得信賴的人工智慧開發和使用的第14110 號行政命令。此外，根據該行政命令，國家電信和資訊管理局 (NTIA) 發布了一份關於開源人工智慧模型的風險、效益、影響和適當政策的報告。
TechFreedom 副法律顧問 Andy Jung 建議： “NIST 應採用並應用 NTIA 使用的邊際風險和收益分析框架來評估開源模型的總體風險。” 「但是 NIST 的指南草案完全忽略了開源的好處。」</t>
  </si>
  <si>
    <t>https://techfreedom.org/nist-draft-guidance-inherently-hostile-to-open-source-ai-models/</t>
  </si>
  <si>
    <t>MyData平臺累積資料下載次數達183萬次，數位部正與地方政府聯手改善服務體驗</t>
  </si>
  <si>
    <t>MyData 平臺自 2021 年推出至今，已超過三年，並與 83 個機關合作，提供 136 項個人資料服務。截至目前，該平臺累積資料下載次數已達 183 萬次。為提升地方政府服務體驗，數位部正在與地方政府合作，透過 MyData 平臺簡化民眾申請服務的流程，並推動服務線上化發展。該平台分為找文件與找服務兩大類功能，協助民眾下載或授權使用個人資料。具體成效包括嘉義縣政府針對身心障礙者的專用停車識別證、以及南投、彰化和屏東等縣市提供的社會住宅、獎助學金等線上申請服務。</t>
  </si>
  <si>
    <t>https://www.ithome.com.tw/news/164667</t>
  </si>
  <si>
    <t>Amos: 可以在「為什麼要讀」引導大家思考背後的重點</t>
  </si>
  <si>
    <t>Meta and Spotify CEOs criticize AI regulation in the EU</t>
  </si>
  <si>
    <t>Meta 和 Spotify 再次合作——這一次是在開源（或更準確地說，開放權重 open-weight）人工智慧問題上，兩家公司聲稱歐盟有關人工智慧的隱私法規阻礙了創新。例如，Meta 指出，它無法利用 Facebook 和 Instagram 上的公共資料 (public data) 訓練人工智慧模型，因為監管機構尚未制定立法來解決如何處理這一問題。</t>
  </si>
  <si>
    <t>https://techcrunch.com/2024/08/23/meta-and-spotify-ceos-criticize-ai-regulation-in-the-eu/</t>
  </si>
  <si>
    <t>‘Open knowledge is still seen as very technical in Asia, which excludes a lot of people’</t>
  </si>
  <si>
    <t>此為開放知識基金會辦理的線上對談紀錄 ：開放知識網絡的亞洲成員討論亞洲開放知識的當前背景、機會和挑戰。
開放知識在亞洲仍被視為技術議題，導致許多非技術人被排除在外。應將開放知識視為一種社會運動，而不僅是技術倡議。討論還指出，南亞和東南亞的跨國合作面臨政治和後勤障礙，影響亞太地區的相關資訊流通，應定期舉行會議以讓各國的開放資料和開放知識倡議順利進行。</t>
  </si>
  <si>
    <t>https://blog.okfn.org/2024/08/22/open-knowledge-is-still-seen-as-very-technical-in-asia-which-excludes-a-lot-of-people/</t>
  </si>
  <si>
    <t>Ian: 開放知識基金會是推動開放資料的標準。
Jin: 想到把程式碼變成文化遺產的文章。</t>
  </si>
  <si>
    <t>2024 Nov 15</t>
  </si>
  <si>
    <t>新浪香港 via Ian</t>
  </si>
  <si>
    <t>EDB Supports MERMAID’s Global Open Source Initiative to Confront Ongoing Coral Reef Crisis</t>
  </si>
  <si>
    <t>EnterpriseDB （“EDB”），領先的 Postgres 資料庫和 AI 公司，宣布承諾贊助野生動物保護協會 (WCS) 的一項倡議　MERMAID ，包括面對氣候變化，利用 Postgres 和人工智慧支援地球珊瑚礁的保護。
與使用傳統電子表格相比，使用 PostgreSQL 實現現代化資料收集的效率提高了三到五倍。透過數以千計收集珊瑚礁數據的科學家和志工的資料共享和協作，MERMAID 用戶將利用 PostgreSQL 來管理他們的監測數據，並幫助當地社區和政府合作夥伴保護這些關鍵環境。
註：Postgres 是世界上最先進的開源資料庫，正在推動全球組織的創新。</t>
  </si>
  <si>
    <t>https://portal.sina.com.hk/finance/finance-globenewswire/globenewswire/2024/08/27/949798/edb-supports-mermaids-global-open-source-initiative-to-confront-ongoing-coral-reef-crisis/</t>
  </si>
  <si>
    <t>5 款開源生產力工具推薦！幫你省下軟體費用，還有 Google 相簿替代品</t>
  </si>
  <si>
    <t>此文介紹幾款開源軟體並鼓勵使用：
－Penpot（UX/UI 設計）
－Cal.com（會議安排助理）
－Screenity（螢幕錄製軟體）
－Nextcloud（雲端存儲）
－PhotoPrism（照片管理）</t>
  </si>
  <si>
    <t>https://buzzorange.com/techorange/2024/09/04/open-source-alternative-software/</t>
  </si>
  <si>
    <r>
      <rPr>
        <color rgb="FF1155CC"/>
        <sz val="10.0"/>
        <u/>
      </rPr>
      <t>phoronix.com</t>
    </r>
    <r>
      <rPr>
        <sz val="10.0"/>
      </rPr>
      <t xml:space="preserve"> via HN</t>
    </r>
  </si>
  <si>
    <t>Open-Source AMD GPU Implementation Of CUDA "ZLUDA" Has Been Taken Down</t>
  </si>
  <si>
    <t>實作開源 CUDA 的 AMD GPU 專案「ZLUDA」被下架了。大家本來以為開發者屈服於 NVIDIA 的法律威脅，畢竟這個專案透過 ROCm 讓 AMD GPU 繞過 NVIDIA 設下的限制，可以直接執行原先需要 NVIDIA 的閉源軟體 CUDA 才能運作的程式。
雖然這個專案起初開源並接受 AMD 的贊助，但目前應 AMD 的要求被全面下架（原因不明）。開發者 Andrzej Janik 計劃從 AMD 開始資助前的程式碼庫中重建 ZLUDA，且儘管程式碼全被移除，但由於其在 Git 上已被分發，開源的程式碼可能仍存在於其他地方。</t>
  </si>
  <si>
    <t>https://www.phoronix.com/news/AMD-ZLUDA-CUDA-Taken-Down</t>
  </si>
  <si>
    <t>治理, 趨勢</t>
  </si>
  <si>
    <t>OSI via Ian</t>
  </si>
  <si>
    <t>Highlights from our participation at Open Source Congress 2024</t>
  </si>
  <si>
    <t>OSI 參加 2024 年北京開源大會的亮點
-演講「開源 AI 定義」的 0.09 版本
-「開源組織之間的合作」小組討論如何組織間如何協作與加強聯繫的方法
- 開源人工智慧背景下的「資料集、隱私和版權」的爐邊談話
-- 討論訓練資料集中使用受版權保護的材料；
--在人工智慧培訓和內容生成的背景下合理使用；
--中國的人工智慧監管框架。</t>
  </si>
  <si>
    <t>https://opensource.org/blog/highlights-from-our-participation-at-open-source-congress-2024</t>
  </si>
  <si>
    <t xml:space="preserve">Inside the U.S. competition to create AI security tools
</t>
  </si>
  <si>
    <t>美國正積極透過 AI 工具修復開放原始碼的安全漏洞。最近 DEF CON 駭客大會上，美國政府辦理的競賽展示了生成式 AI 自動檢測和修補開源專案中安全漏洞的可能性，準決賽隊伍的模型在一次測試當中直接找到 22 個漏洞，並自動把其中 15 個給修復了。
這項名為 AI 網路挑戰賽（AIxCC）提供對抗資安攻擊的自動化工具，保護醫院和供水系統等關鍵基礎設施的網路安全。該挑戰賽鼓勵網路安全團隊訓練大型語言模型，以辨識並解決開放原始碼專案中的漏洞。美國白宮也正與能源部合作，將這些開源創新整合到能源網路中。</t>
  </si>
  <si>
    <t>https://www.axios.com/2024/08/13/darpa-ai-cyber-challenge-def-con</t>
  </si>
  <si>
    <t>Prioritizing Security: Key Findings from the OpenSSF Survey for Financial Institutions</t>
  </si>
  <si>
    <r>
      <rPr>
        <rFont val="Arial"/>
        <color theme="1"/>
        <sz val="10.0"/>
      </rPr>
      <t>Linux 基金會的開源安全基金會 (OpenSSF) 2024 年</t>
    </r>
    <r>
      <rPr>
        <rFont val="Arial"/>
        <b/>
        <color theme="1"/>
        <sz val="10.0"/>
      </rPr>
      <t>安全軟體開發教育調查</t>
    </r>
    <r>
      <rPr>
        <rFont val="Arial"/>
        <color theme="1"/>
        <sz val="10.0"/>
      </rPr>
      <t>提供了與金融服務業特別相關的重要見解，包括賣方銀行、買方公司和財富管理機構等 FINOS 成員。
該報告顯示人工智慧和機器學習安全 (57%) 以及供應鏈安全 (56%) 被認為是未來重點關注的關鍵領域，並建議金融服務業利用FINOS 、 OpenSSF 、 Linux 基金會和其他開源計畫提供的教育材料和課程來增強開發團隊的安全技能。</t>
    </r>
  </si>
  <si>
    <t>https://openssf.org/blog/2024/09/04/prioritizing-security-key-findings-from-the-openssf-survey-for-financial-institutions/</t>
  </si>
  <si>
    <t xml:space="preserve"> (OpenSSF) 2024 年安全軟體開發教育調查
https://www.linuxfoundation.org/research/software-security-education-study</t>
  </si>
  <si>
    <t>金融服務業</t>
  </si>
  <si>
    <t xml:space="preserve">All Hands AI raises $5M to build open source agents for developers
</t>
  </si>
  <si>
    <t>All Hands AI 宣布獲得由 Menlo Ventures 領投的 500 萬美元種子輪融資，開發開源的 AI 代理人（AI agent），這些代理人能處理大部分繁瑣的任務，使開發者能專注於其最擅長的發想工作。OpenHands 的目標是成為開發者的自主協作開發助理，處理日常工作中的重複任務，從寫單元測試到部署，甚至是幫忙發現假如某個檔案不小心改到了變數名稱，是不是要一併修改專案當中的其他檔案。該計畫起初叫 OpenDevin，現在更名為 OpenHands，並在 GitHub 上獲得超過 30,000 顆星和 150 多名貢獻者。</t>
  </si>
  <si>
    <t>https://techcrunch.com/2024/09/05/all-hands-ai-raises-5m-to-build-open-source-agents-for-developers/</t>
  </si>
  <si>
    <t>OpenSource via Ian</t>
  </si>
  <si>
    <t>Open Source: Providing Pathways to Professional Growth</t>
  </si>
  <si>
    <t>此文說明參與開源專案如何作為職涯成長途徑。
- 開源貢獻透過在協作環境中展示他們的技能並展示他們對創新和社區驅動專案的承諾。
- 讓專業人士沉浸在國際環境中，與全球各地的不同團隊合作。這種接觸不僅拓寬了他們的技術專業知識，還磨練了溝通、解決問題和適應能力等基本軟技能。
-開源工作提供多樣性，可選擇自己喜歡工作的自由，提高生產力和學習成果。</t>
  </si>
  <si>
    <t>https://www.opensourceforu.com/2024/09/open-source-providing-pathways-to-professional-growth/</t>
  </si>
  <si>
    <t>Inside</t>
  </si>
  <si>
    <t>最強開源 AI 模型現身？新創 HyperWrite 推出「Reflection 70B」，分數直逼 GPT-4o</t>
  </si>
  <si>
    <t>AI 寫作新創公司 HyperWrite 於近日釋出基於 Llama 3.1-70B 的開源 LLM「Reflection 70B」，在數個第三方基準測試中，分數更勝 Claude 3.5 Sonnet、GPT-4o 等閉源模型，公司 CEO Matt Shumer 將該模型譽為 「世界頂級的開源 AI 模型」。
其一大特色在於錯誤辨識和修正能力，模型藉由一種「reflection tuning」反思調整的技術，可反思生成的內容，在偵測到錯誤時就能進行即時修正。</t>
  </si>
  <si>
    <t>https://www.inside.com.tw/article/36153-hyperwrite-launches-reflection70b</t>
  </si>
  <si>
    <t xml:space="preserve">Getty Images 推出最「乾淨」的視覺資料集，打造合法的 AI 訓練環境。
</t>
  </si>
  <si>
    <t>全球知名的視覺內容供應商 Getty Images 近日宣布，將其圖庫中的部分影像資料作為開放為範例資料集，正式上架 Hugging Face 平台，為 AI 模型的訓練提供了全新選擇。
此範例資料集包含 3,750 張來自 15 個類別的高品質影像，包括抽象與背景、建築環境、商業、概念、教育、醫療、工業與自然等。開發者無需擔心資料集在使用過程中會產生意外的法律風險，因為這些影像已經過仔細篩選，移除了任何可能引發問題的元素，包括名人照片、商標、成人不宜內容以及低解析度或缺乏元數據的影像。影像具有解析度高、豐富的結構化元數據等特色，專門為機器學習（ML）模型訓練設計，開發者可以直接應用於其 AI 訓練流程，無需再進行繁複的資料清理與強化工作。</t>
  </si>
  <si>
    <t>https://www.inoreader.com/article/3a9c6e745f035f42-getty-images-ai</t>
  </si>
  <si>
    <t>Which open-source projects are widely used but maintained by just a few people?</t>
  </si>
  <si>
    <t>在開源專案的領域中，普遍存在著被廣泛使用但僅由少數幾個人維護的應用程式。例如，sudo 專案對主要的 Linux 發行版至關重要，但主要是由一個人維護。同樣地，許多基礎程式碼庫和工具的維護有限，更新通常不頻繁。通常，這些專案的大部分工作是由一位主要維護者完成。雖然像 OpenSSL 這樣的專案擁有 15 名維護者的較大團隊，但其他像 SQLite 則有嚴格的貢獻政策以確保其公共領域的原始碼品質穩定。這種情況凸顯了開源生態系統中的一個更廣泛的問題，即關鍵專案常常依賴於少數幾位專注的貢獻者。</t>
  </si>
  <si>
    <t>https://news.ycombinator.com/item?id=41486565</t>
  </si>
  <si>
    <t>Openchain via Ian</t>
  </si>
  <si>
    <t>Nokia Announces Adoption of OpenChain ISO/IEC 5230:2020</t>
  </si>
  <si>
    <t>諾基亞早在 2004 年就實施了開源合規計劃，並自 2014 年起設立了多學科開源計劃辦公室 ( OSPO )。
Nokia 認為擁有全行業認可的標準來為行業和整個供應鏈中的各方提供可預測性非常重要。</t>
  </si>
  <si>
    <t>https://openchainproject.org/featured/2024/09/15/nokia-announces-adoption-of-iso-iec-52302020</t>
  </si>
  <si>
    <t>Brightband sees a bright (and open source) future for AI-powered weather forecasting</t>
  </si>
  <si>
    <t>Brightband 看好未來使用開源的 AI 天氣預測工具。認識到傳統工具難以處理氣候和天氣資料的爆炸性增長。新創公司 Brightband旨在將機器學習預測模型轉變為開源授權。儘管當前的預測技術基於過時的統計模型，但人工智慧提供了更高效的方法，能從龐大的資料集中辨識。然而，由於政府和氣象公司難以吸引頂尖人才，這個差距存在，Brightband 希望通過集結AI、資料和氣象專家來彌合這一差距。他們正在使用廣泛的氣象觀測資料開發自己的模型，利用現有的基於物理的模型。Brightband計劃將其模型開源，讓任何人都可以檢視和使用，同時為專業需求提供付費服務。這種方法涉及處理和釋放大量以前未充分利用的資料，促進社群參與以增強對大氣的理解。儘管他們與國家氣象局等機構合作，Brightband 的重點是為各行各業提供快速、方便的資料解決方案。雖然作為社會企業，他們已籌集了1000萬美元的A輪融資以推進其目標。</t>
  </si>
  <si>
    <t>https://techcrunch.com/2024/09/19/brightband-sees-a-bright-and-open-source-future-for-ai-powered-weather-forecasting/</t>
  </si>
  <si>
    <t>NGINX轉移至GitHub望促進開源社群貢獻</t>
  </si>
  <si>
    <t>網頁伺服器和反向代理伺服器 NGINX 是全球數百萬網站的基礎架構，是開源社群中的重要專案。
NGINX 原本使用 Mercurial 版本控制系統，官方現在宣布要將開發資源遷移至 GitHub，目的是要更接近全球開源社群，促進貢獻參與並提升專案協作效率。NGINX專案轉移GitHub的重要性在於強調其開源承諾，期望擴大貢獻者數量和多樣性。
NGINX 母公司 F5 明確表示他們會使用 OSI 核准的授權，不會刪除現有專案或功能進行商業化，也不會對專案施加使用限制。</t>
  </si>
  <si>
    <t>https://www.ithome.com.tw/news/164940</t>
  </si>
  <si>
    <t>開源平台</t>
  </si>
  <si>
    <t>MIT Technology Review via Ian</t>
  </si>
  <si>
    <t>We finally have a definition for open-source AI</t>
  </si>
  <si>
    <t>此文介紹 OSI 所公布的開源人工智慧定義，以及此消息的意義。
有關開源AI定義的幾項爭議：
-大公司在宣傳其LLM時會濫用開源一詞，即便難以證實。
-開源定義討論中，有關公共訓練資料(public training data)有爭議，最終妥協定案為：
開源模型提供有關訓練資料的信息，達到「技術人員可以使用相同或相似的資料重新創建基本等效的系統」的程度。</t>
  </si>
  <si>
    <t>https://www.technologyreview.com/2024/08/22/1097224/we-finally-have-a-definition-for-open-source-ai</t>
  </si>
  <si>
    <t>開源AI定義</t>
  </si>
  <si>
    <t>OpenSource for you via Ian</t>
  </si>
  <si>
    <t>The Best Open Source Platforms for No-code Development</t>
  </si>
  <si>
    <t>此文提倡無程式碼開發，並提供開源平台比較表。依照可用性、可自訂性、可自訂性、社群支持、整合能力、成本與授權進行比較。
無程式碼開發平台提供拖放元素和預製組件等內容，使開發者只需將這些部分排列在一起即可設計和建立軟體。具有多種優勢：速度、可及性、經濟高效、靈活。
此文預期未來還會整合人工智慧、更好的協作工具、功能拓展以支援更多應用程式，使用戶可創新並開發適合特定行業需求的解決方案。</t>
  </si>
  <si>
    <t>https://www.opensourceforu.com/2024/09/the-best-open-source-platforms-for-no-code-development/</t>
  </si>
  <si>
    <t>無程式碼</t>
  </si>
  <si>
    <t>Bellingcat via Ian</t>
  </si>
  <si>
    <t>On Slicks and Satellites: An Open Source Guide to Marine Oil Spill Detection</t>
  </si>
  <si>
    <r>
      <rPr>
        <rFont val="Arial"/>
        <b/>
        <color theme="1"/>
        <sz val="10.0"/>
      </rPr>
      <t xml:space="preserve">關於浮油與衛星：海洋溢油偵測開源指南
</t>
    </r>
    <r>
      <rPr>
        <rFont val="Arial"/>
        <color theme="1"/>
        <sz val="10.0"/>
      </rPr>
      <t xml:space="preserve">
海洋石油污染的規模令人震驚，歐洲與地中海每年都有上千起石油洩漏事件，對海洋或沿海生態系統與有關產業的影響巨大。
此文介紹藉由了解石油的特性與洩漏型態，結合開源在衛星遙感感測器(如光學感測器和雷達感測器)中的運用、地球觀測平台提供的免費光學影像，來收集地球表面數據。開源遙感社群(open-source remote sensing community)也有編寫程式碼作為相關資料視覺化。
注意有時衛星蒐集到的資料中也可能將自然現象誤判為石油。</t>
    </r>
  </si>
  <si>
    <t>https://www.bellingcat.com/resources/how-tos/2024/08/30/marine-oil-spill-detection-guide/</t>
  </si>
  <si>
    <r>
      <rPr>
        <color rgb="FF000000"/>
        <sz val="10.0"/>
      </rPr>
      <t xml:space="preserve">Ollie Ballinger 的《開源情報遙感指南》
</t>
    </r>
    <r>
      <rPr>
        <color rgb="FF1155CC"/>
        <sz val="10.0"/>
        <u/>
      </rPr>
      <t>https://bellingcat.github.io/RS4OSINT/A2_Remote_Sensing.html</t>
    </r>
  </si>
  <si>
    <t>開源社群、海洋汙染</t>
  </si>
  <si>
    <t>授權, 應用</t>
  </si>
  <si>
    <t>INSIDE</t>
  </si>
  <si>
    <t>【開源祭】林強與 Honki 看生成式 AI 與創作權之間的衝突與平衡</t>
  </si>
  <si>
    <t>此活動中林強提到對 CC 授權的看法：希望音樂能與大眾分享，而不是被版權束縛。因此過去他將《向前走》的詞曲無償分享給任何人重新編曲或創作，這種共享精神代表了他對開源文化的支持。
但他也指出，儘管 CC 授權的推廣初期效果良好，但隨著時間推移，相關的資源與平台逐漸減少，台灣目前缺乏一個穩定的共享平台讓創作者方便上傳與分享作品。林強呼籲政府和民間能建立一個能長期維護的創用 CC 平台。</t>
  </si>
  <si>
    <t>https://www.inside.com.tw/article/36216-open-source-festival-lim-giong</t>
  </si>
  <si>
    <t>音樂、CC 授權</t>
  </si>
  <si>
    <t>Briefer via HN</t>
  </si>
  <si>
    <t>Going open-source as a VC-backed company</t>
  </si>
  <si>
    <t xml:space="preserve">新創公司 Briefer 分享如何將產品維持開源，同時與大公司 saleforce 及微軟競爭，又能夠說服開源社群的信任和貢獻。他們認為，善待用戶是賺錢的最佳途徑，而賺錢又是善待用戶的最佳方式。因為金錢能讓公司投資改善開源產品，為更多人提供更好的開源服務。
</t>
  </si>
  <si>
    <t>https://briefer.cloud/blog/posts/open-source-strategy/</t>
  </si>
  <si>
    <t>chemistryworld via HN</t>
  </si>
  <si>
    <t>Will open science change chemistry?</t>
  </si>
  <si>
    <t>阻礙科學家以更容易重複使用的方式分享開放資料的元兇之一，是那不起眼的 PDF 檔案，也是科學期刊常用的資料格式。這個議題的提出源於機器學習的爆炸性成長。化學家說，如果沒有適當的資料來訓練演算法，我們連起跑線都無法到達。我們就像是裝了購物推車輪子的保時捷，根本無法前進。在結晶學領域，情況已經相當領先。早在一九九○年代，該社群就投入時間和精力發展資料共享方法。從一個結晶結構資料庫，發展出描述資料的通用語言，進而形成資訊檔案格式。開放科學不僅是資料共享，更是一種根本不同且更具協作性的科學工作方式，有望加速進展。文章中的科學家還說，如果我們能正確管理、匯集和索引資料，未來化學家將運用開放資料和機器學習工具來測試假設，最後才進入實驗室確認結果，這樣高效率的未來就不遙遠了。</t>
  </si>
  <si>
    <t>https://www.chemistryworld.com/careers/will-open-science-change-chemistry/4020023.article</t>
  </si>
  <si>
    <t>Linus Torvalds explains why aging Linux developers are a good thing</t>
  </si>
  <si>
    <t>Linux 的關鍵人物林納斯·托瓦茲表示，儘管開源軟體開發領域長期存在倦怠問題，但 Linux 依然強勁 — 不過他承認自己的專案可能因其規模和範圍而有些特殊。「我認為我們擁有大量開發者，是因為我們一直有很多能幹的人可以站出來，」托瓦茲說。不過，托瓦茲也承認，這樣的生態系統對年輕或經驗較淺的開發者而言可能令人望而生畏，尤其是看到那些已經待了很久的老將。但儘管如此，仍有新進者設法進入 Linux 專案的核心。
「確實，Linux 核心維護者正在變老，但這有正面意義，」托瓦茲說。「有多少開源專案的維護者已經持續工作超過三十年？這很不尋常。人們說『開發者會倦怠並離開』 — 沒錯，這很正常。不正常的是有人能夠持續數十年；這是很特別的事，我認為在某種程度上是個好現象。」
「我們有負責主要子系統的核心開發者，他們只用幾年就成長起來，」托瓦茲說。「不是立即發生，但有新人進來，三年後就成為主要開發者。這絕對可能。我認為我們有相當健康的開發者子系統。那些老掉牙、頭髮已經白的傢伙 — 我不認為這是大問題。」
另外，Linux 一直是以 C 語言為中心的核心系統，但在 2022 年，該專案正式支援 Rust — 一種由許多知名科技公司支持的通用型開源程式語言。就在幾週前，Rust for Linux 專案負責人宣布卸任，因為他已經「缺乏能量和熱情」來處理專案周圍的「非技術性瑣事」。</t>
  </si>
  <si>
    <t>https://techcrunch.com/2024/09/22/linus-torvalds-explains-why-aging-linux-developers-are-a-good-thing/</t>
  </si>
  <si>
    <t>Amos：開源界是不是除了工程師之外，需要更多「非技術人員」處理行政資源？</t>
  </si>
  <si>
    <t>icon-sets via HN</t>
  </si>
  <si>
    <t>iconify.design</t>
  </si>
  <si>
    <t>做投影片或網頁需要 icon 嗎？從 Apache 到 CC-BY，這裡的所有 icon 圖示通通都開源</t>
  </si>
  <si>
    <t>https://icon-sets.iconify.design/</t>
  </si>
  <si>
    <t>2024 Nov 29</t>
  </si>
  <si>
    <t>應用, 推動</t>
  </si>
  <si>
    <t>DirectX 12支援開源SPIR-V著色器，進入跨平臺繪圖API新時代</t>
  </si>
  <si>
    <t>微軟宣布從著色器程式開發標準Shader Model 7開始，逐步以SPIR-V取代DXIL，而這代表著DirectX 12後將走向開放標準的道路。微軟和Khronos、Google等組織合作，計畫透過這項改變推動GPU程式設計創新，同時加速新硬體功能的普及，進一步提升開發者的生產力。
由於 SPIR-V核心設計具有良好的可擴展性，因此可以更好地支援GPU API新功能，透過統一標準中介格式，開發者無論是在Direct3D還是其他繪圖API，都能夠更快地採用新功能。而對硬體供應商和微軟本身來說，也可以將資源投入在差異化功能開發，而不需要重新建構受廣泛支援的基礎功能。</t>
  </si>
  <si>
    <t>https://www.ithome.com.tw/news/165143</t>
  </si>
  <si>
    <t>跟 OpenChain 在推廣的有關</t>
  </si>
  <si>
    <t>Elasticsearch重新開源後，AWS也將OpenSearch移交Linux基金會</t>
  </si>
  <si>
    <t>AWS將OpenSearch專案轉移至Linux基金會底下中立非營利基金會，以實現由社群主導的開放治理模型，並且繼續在GitHub上維護，以及採用Apache 2.0授權。
OpenSearch轉移的重點在於強化社群參與，降低專案受單一供應商的影響，確保專案能夠繼續推進。這些變化使得OpenSearch的治理模式更加透明，也擴大來自AWS以外的貢獻者參與。</t>
  </si>
  <si>
    <t>https://www.ithome.com.tw/news/165064</t>
  </si>
  <si>
    <t>Ian: *****這很棒耶！</t>
  </si>
  <si>
    <t>OW</t>
  </si>
  <si>
    <t>OWASP Juice Shop</t>
  </si>
  <si>
    <t>OWASP Juice Shop 是 OWASP 基金會的開源專案。它被廣泛運用於資安訓練、資安案例及搶旗（Capture The Flag，簡稱 CTF）活動，成為測試資安工具和常見資安漏洞的教材。Juice Shop 納入了整個 OWASP 前十大資安風險，讓使用者能夠深入了解真實世界的 web app 資安缺陷。這個開源專案對所有想要提升資安知識與技能的人都是開放的，並透過促進資安實務的協作與創新，為更安全的開源生態系做出貢獻。</t>
  </si>
  <si>
    <t>https://github.com/juice-shop/juice-shop</t>
  </si>
  <si>
    <t>案例, 活動</t>
  </si>
  <si>
    <r>
      <rPr>
        <color rgb="FF1155CC"/>
        <sz val="10.0"/>
        <u/>
      </rPr>
      <t>zdnet.com</t>
    </r>
    <r>
      <rPr>
        <sz val="10.0"/>
      </rPr>
      <t xml:space="preserve"> via Cheng</t>
    </r>
  </si>
  <si>
    <t>Why remove Russian maintainers of Linux kernel? Here's what Torvalds says</t>
  </si>
  <si>
    <t>Linux 核心社群最近遭遇重大震盪。Greg Kroah-Hartman ，Linux 核心領導階層的資深成員，因「各種合規性要求」宣布移除數名俄羅斯維護者。這項決定在開源社群中引發困惑與憂慮，因為這些人是像 Acer 和 Cirrus Logic 等公司關鍵硬體驅動程式的主要維護者。
Linux 的創始人 Linus Torvalds 在 Linux 核心郵件清單（LKML）上回應此事，強調這項變更是必要且不可逆的，並指出合規性要求已超越美國法規。Torvalds 指出 2022 年俄羅斯入侵烏克蘭後的國際制裁。這些制裁不僅衝擊大型經濟領域，也影響像 Linux 核心這樣全球性專案的個人貢獻者。
雖然相關維護者已被解除官方職務，但並非完全禁止參與。他們仍可貢獻 Linux 核心，並可能在未來滿足特定文件要求後回歸原職。</t>
  </si>
  <si>
    <t>https://www.zdnet.com/article/why-remove-russian-maintainers-of-linux-kernel-heres-what-torvalds-says/</t>
  </si>
  <si>
    <t>技術, 研究</t>
  </si>
  <si>
    <t>The Livinglibrary via Ian</t>
  </si>
  <si>
    <t>Artificial Intelligence as a Catalyzer for Open Government Data Ecosystems: A Typological Theory Approach</t>
  </si>
  <si>
    <t>這篇論文「人工智慧作為開放政府資料生態系統的催化劑：類型學理論方法」透過系統性回顧對文獻進行綜合，探討並建構了人工智慧如何豐富「人工智慧與開放政府資料（OGD）」 計畫。由此產生的概念框架確定了OGD 的八種理想的人工智慧應用類型：人工智慧作為入口網站管理者、瀏覽器、連結器和監視器，以及人工智慧作為生態系統資料檢索器、連接器、價值開發者和參與者。</t>
  </si>
  <si>
    <t>https://thelivinglib.org/artificial-intelligence-as-a-catalyzer-for-open-government-data-ecosystems-a-typological-theory-approach/</t>
  </si>
  <si>
    <t>Social Web Foundation via HN</t>
  </si>
  <si>
    <t>Social Web Foundation launches, An open future
for social networks</t>
  </si>
  <si>
    <t>社群網路基金會的成立，標誌著推廣開放原始碼社群網站的重要里程碑。去中心化社群網路生態系統「聯邦宇宙」，該系統建立在開放標準之上，不受私有社群網站或監視資本主義的影響。
Mastodon 這樣的生態系反映了開放標準的價值，讓使用者可以享受追蹤帳號的時間序列動態，不受演算法操縱或商業化推廣的干擾。社群網路基金會作為一個非營利組織，推進社群網路的發展。被稱為「聯邦宇宙」的這個網路，由透過 ActivityPub 通訊協定互相連結的自主社群平台所組成，該協定自 2018 年起已被認可為 W3C 標準。這種架構使不同平台的使用者能夠無縫互動。
該基金會將現況類比為網際網路早期，當時開放性和協作性至關重要。藉由提倡 W3C 為基礎的開放標準和分散式解決方案，此倡議對抗了企業壟斷。眾多企業的支持對於重振一個不受演算法和企業影響的公共空間至關重要。</t>
  </si>
  <si>
    <t>https://socialwebfoundation.org/</t>
  </si>
  <si>
    <t>OCF 合作夥伴 APC 也有發文慶祝此事</t>
  </si>
  <si>
    <t>隱私, 技術</t>
  </si>
  <si>
    <t xml:space="preserve">The Tor Project merges with Tails, a Linux-based portable OS focused on privacy
</t>
  </si>
  <si>
    <t>Tor 專案宣布與 Tails 策略性合併，Tails 是一款強調使用者隱私與匿名性的可攜式 Linux 作業系統。此合作應運而生，背景是全球對數位監控的持續關切、挑戰端到端加密的法規壓力，以及持續的線上服務審查。
作為整合的一部分，Tails 將成為 Tor 專案組織架構的一個元件。Tor 專案的公關暨通訊總監 Pavel Zoneff 表示，這項架構調整旨在促進更順暢的協作、提升永續性、降低營運成本，並擴大培訓與推廣計畫，以更好地因應各種數位威脅。
Tails 於 2009 年推出，是一款基於 Debian 的 Linux 發行版，內建桌面環境。它設計為可攜式，可從 USB 磁碟機等裝置運作，將數位足跡降至最低。Tails 本質上透過 Tor 連接網際網路，並獲得包括 Tor 專案在內的多個組織的資金與支持。
這次合併邏輯上源於兩個專案對線上隱私的共同承諾，以及彼此交織的歷史。對於容易遭受數位監控的族群，包括常成為線上追蹤目標的行動主義者和記者，這項合併有望帶來重大利益。愛德華·斯諾登曾公開支持這兩個平台，並在揭發 NSA 的活動中使用 Tails。</t>
  </si>
  <si>
    <t>https://techcrunch.com/2024/09/26/the-tor-project-merges-with-tails-a-linux-based-portable-os-focused-on-privacy/</t>
  </si>
  <si>
    <t>Eric Mann's Blog via HN</t>
  </si>
  <si>
    <t>WordPress Drama: From the Sidelines</t>
  </si>
  <si>
    <t>對於不熟悉的人來說，WordPress 專案聯合創辦人 Matt Mullenweg 在主題演講中引發了爭議。他批評 WP Engine 及其背後的私募股權公司 Silver Lake，指控他們對社群造成傷害。Matt 和他的法律團隊指控 WP Engine 商標侵權和造成市場混淆。這週，Matt 進一步升級衝突，撤銷 WP Engine 存取 WordPress.org 用於軟體安裝和更新的 API 的免費權限。
WordPress 作為開源專案和 Automattic 的代管服務 wordpress.com 之間常常被混淆。Automattic 擁有「WordPress」商標的商業權利，而 WP Engine 雖然不直接稱自己為「WordPress Engine」，但透過行銷手法從名稱混淆中獲益。Matt 最初批評 WP Engine 在於他們對開源社群貢獻不足。儘管在首頁宣傳他們的參與，WP Engine 每週據報僅投入 40 人時，遠未能培養一個透過貢獻 WordPress 來支持開放未來的文化。
此衝突最可悲的後果是對終端使用者的影響。當 Matt 封鎖 WP Engine 伺服器存取 WordPress.org 的 API 時，許多利害關係人表達對專案穩定性和安全性的擔憂。然而，這種擔憂是多餘的。WP Engine 未能妥善處理 Matt 的考量，導致 API 存取被移除——任何網頁主機都應該採取適當保護措施。WP Engine 缺乏此類措施，造成 API 服務中斷時的使用者中斷。
雖然我同情受影響的使用者，但 WP Engine 應對這些問題負責。他們依賴 WordPress.org 的免費服務，卻未充分處理社群貢獻或商標授權問題。同樣地，WP Engine 利用免費服務牟利卻未回饋。他們拒絕遵守社群期望，導致服務存取被撤銷。雖然使用者受到影響，但歸咎他人是不誠實的。</t>
  </si>
  <si>
    <t>https://eric.mann.blog/wordpress-drama-from-the-sidelines/</t>
  </si>
  <si>
    <t>跨出「開源」的第一步！美規版 Model C 現身，量產版 Model B 同步亮相</t>
  </si>
  <si>
    <t xml:space="preserve">鴻海科技日亮相量產版 Model B 和美規版 Model C，前者與概念車差異不大，但內裝質感提升，後者則在外觀和內飾上進行了調整。兩款車均基於 MIH 開放平台打造，預計 2025 年在美國上市，標誌著 MIH 取得初步成功。 </t>
  </si>
  <si>
    <t>https://www.inside.com.tw/article/36441-model-c-model-b</t>
  </si>
  <si>
    <t>不讓 AI 遇到資料孤島！Anthropic 開源新標準，多家公司已採用</t>
  </si>
  <si>
    <t>Google 投資的 AI 新創公司 Anthropic 推出了一項叫做「模型上下文協議」（Model Context Protocol，簡稱 MCP）的開源標準，要讓 AI 助理更容易地連接到存放資料的地方，像是公司用的工具、軟體、資料庫等等。
AI 模型，經常會被資料孤島和舊系統卡住。每次要連到新的資料來源，都要重新客製化，這讓真正能連上網路的系統很難擴大規模。MCP 提供一個通用的、開放的標準，讓 AI 系統可以連接到各種資料來源，用一個協議就能搞定。</t>
  </si>
  <si>
    <t>https://buzzorange.com/techorange/2024/11/26/anthropic-proposes-new-way-to-connect-data-to-ai-chatbots/</t>
  </si>
  <si>
    <t>ieee spectrum via HN</t>
  </si>
  <si>
    <t>Wi-Fi Goes Long Range on New WiLo Approach</t>
  </si>
  <si>
    <t>WiLo 技術透過融合 Wi-Fi 和長距離（LoRa）網路通訊協定。研究人員設計 WiLo 能與既有的 Wi-Fi 和 LoRa 硬體搭配，目標是強化物聯網（IoT）應用，包括農業和智慧城市的長距離感測器網路。
目前的 Wi-Fi 技術受限於通訊範圍和高耗電，而 LoRa 提供低功耗的長距離通訊。透過整合這兩種協定，WiLo 充分發揮各自優勢，無需額外橋接技術，從而降低物聯網部署的成本和複雜度。
這項創新使標準 Wi-Fi 裝置能透過 LoRa 進行長距離通訊，無需額外硬體。在室內和戶外 500 公尺範圍測試中，WiLo 展現 96% 的傳輸成功率。WiLo 的優勢在於能使用現成硬體，將部署成本和複雜度降到最低。然而，Wi-Fi 裝置額外耗電—這是研究團隊將持續解決的議題。</t>
  </si>
  <si>
    <t>https://spectrum.ieee.org/optical-atomic-clocks</t>
  </si>
  <si>
    <t>Effective Data Stewardship in Higher Education: Skills, Competences, and the Emerging Role of Open Data Stewards</t>
  </si>
  <si>
    <t>此篇論文「高等教育中的有效資料管理：開放資料管理員的技能、能力和新興角色」強調高等教育中的開放研究鼓勵採用新的方式使科學探究更加透明、協作和容易獲得。因此在此文中探討開放資料管理員在這一轉變中的關鍵作用，強調開放資料管理者的角色預計將促進資料的可近性和共享實踐，有助於大學發展成為開放的生態系統。</t>
  </si>
  <si>
    <t>https://thelivinglib.org/effective-data-stewardship-in-higher-education-skills-competences-and-the-emerging-role-of-open-data-stewards/</t>
  </si>
  <si>
    <t>推動, 政策</t>
  </si>
  <si>
    <t>European Health and Digital Executive Agency (HaDEA) via HN</t>
  </si>
  <si>
    <t>Download the WiFi4EU app</t>
  </si>
  <si>
    <t xml:space="preserve">WiFi4EU 計畫透過在歐洲各公共區域提供免費無線網路連線。這項計畫已成功在超過 7,200 個區域建置超過 9 萬 3 千個熱點，每個自治區都收到補助券以推動建置。全新的應用程式旨在簡化尋找這些熱點的流程。
透過 WiFi4EU 應用程式，使用者可以在歐洲多個地點享受高速且可靠的無線網路，特別是在設置免費 WiFi4EU 熱點的公共空間，如公園、廣場、公共建築、圖書館、醫療中心或博物館。不論是出差、休閒旅遊，還是在家鄉四處走動，WiFi4EU 應用程式都能提供無需支付數據費用的網際網路存取。
優先考慮使用者隱私，WiFi4EU 應用程式提供安全的線上體驗，不會進行追蹤或收集資料，讓使用者可以安心地連線並使用免費公共無線網路。
</t>
  </si>
  <si>
    <t>https://hadea.ec.europa.eu/programmes/connecting-europe-facility/wifi4eu/download-wifi4eu-app_en</t>
  </si>
  <si>
    <t>科技新報 via Ian</t>
  </si>
  <si>
    <t>資策會發表 2025 十大 AI 趨勢，2024 STI TECH DAY 引領企業導入 AI</t>
  </si>
  <si>
    <t>資策會軟體院 2024 STI TECH DAY 中首次發表「2025 十大 AI 關鍵技術與趨勢」，其中Open Data 聯盟鄧東波副會長指出，觀察歐洲、日本 Data space（資料空間）的發展現況，歐洲著重於建立各產業共通的技術基礎設施和資料治理，Data space 將影響台灣未來數位經濟與 AI 技術的發展。</t>
  </si>
  <si>
    <t>https://technews.tw/2024/11/07/iii-2024-sti-tech-day/</t>
  </si>
  <si>
    <t>OS, DR</t>
  </si>
  <si>
    <t>案例, 治理, 法制化</t>
  </si>
  <si>
    <t>blog.google via HN</t>
  </si>
  <si>
    <t>DOJ’s radical and sweeping proposals risk hurting consumers, businesses, and developers</t>
  </si>
  <si>
    <t>美國司法部（司法部）已宣布在其關於 Google 搜尋服務拆分的訴訟中，可能會提出潛在的重大變革。
其中一項提議的變更，是要求 Google 與競爭對手分享使用者搜尋查詢、點擊和結果，這可能帶來重大的隱私和安全風險。這些搜尋查詢常常包含受 Google 嚴格安全措施保護的敏感資訊。若轉移至缺乏健全安全實務的公司，將提高惡意實體濫用的風險，可能導致個人身份被識別和搜尋歷史被洩露。
此外，司法部提議將 Chrome 或 Android 從 Google 分離，Google 認為可能會產生有害影響。Google 計劃在法庭上提出抗辯，以回應這些疑慮。</t>
  </si>
  <si>
    <t>https://blog.google/outreach-initiatives/public-policy/doj-search-remedies-framework/</t>
  </si>
  <si>
    <t>主要做談資用</t>
  </si>
  <si>
    <t>探索開放資料和產生人工智慧的交叉點：觀測站的最新新增內容</t>
  </si>
  <si>
    <t>開放資料政策實驗室的「開放資料與生成式人工智慧如何交叉範例觀察站」提供了來自官方來源的開放資料與生成式人工智慧交叉的真實案例，包含來自多個領域和地區的 80 多個範例，從支援法國政府法律部門內的行政工作到協助非洲大陸的研究人員了解跨境資料共享法律。</t>
  </si>
  <si>
    <t>https://thelivinglib.org/exploring-the-intersections-of-open-data-and-generative-ai-recent-additions-to-the-observatory/</t>
  </si>
  <si>
    <t>free software foundation via HN</t>
  </si>
  <si>
    <t>Free Software Foundation to serve on "artificial intelligence" safety consortium</t>
  </si>
  <si>
    <t xml:space="preserve">自由軟體基金會（FSF）宣布參與美國國家標準與技術研究院（NIST）的聯盟，該聯盟專注於「人工智慧」的安全性，特別是關於「生成式」人工智慧系統。FSF 的目標是確保自由軟體的觀點能在這些討論中獲得充分代表。該聯盟包含超過 600 個機構，其中不乏常遭 FSF 批評的企業，如 Meta、亞馬遜和谷歌。儘管軟體自由的環境充滿挑戰，FSF 仍致力於在聯盟及其工作小組中倡導個人使用者的自由。
FSF 行銷長葛瑞格‧法魯夫（Greg Farough）對 FSF 的參與表示：「基於我們在科技倫理上的立場，許多人都期待我們對此議題提出看法。我們已透過內部工作小組，對人工智慧的技術和哲學面向進行深入研究。我們參與這個聯盟，是為了闡述我們的研究發現。」
FSF 執行長柯伊曼（Zoë Kooyman）強調 FSF 對機器學習系統採取審慎態度，並認知到這些系統對日常運算的廣泛影響。她強調維護使用者對技術的控制權之重要性，這與 FSF 將對話重新引導至四大基本自由的責任相符。
</t>
  </si>
  <si>
    <t>https://www.fsf.org/news/fsf-serves-on-nist</t>
  </si>
  <si>
    <t>via Ian</t>
  </si>
  <si>
    <t>Open data for AI: what now?</t>
  </si>
  <si>
    <t>聯合國教科文組織針對 opendata 的指引，以及如何彙整開放資料來為 AI 增能。
開放數據的重要性：開放數據對於 AI 發展至關重要，因為它允許處理和轉化原始數據為可操作的信息。這在 COVID-19 大流行期間尤為明顯，當時及時和高質量的開放數據對於科學研究和政策干預至關重要。
FAIR 原則：數據必須是可查找的、可訪問的、互操作的和可重用的（FAIR）。這些原則確保數據可以輕鬆定位、訪問、與其他數據集成並重用，從而增強其價值和效用。
UNESCO 指南：指南旨在幫助會員國理解開放數據的價值並提供具體步驟來策劃和開放其數據。這些步驟分為三個階段：準備、開放和後續跟進，以實現重用和可持續性。
開放科學：指南還支持聯合國教科文組織關於開放科學的建議，促進數據共享、可重複性、透明度和長期訪問。開放科學倡議有助於建立信任並促進創新。
數據挑戰：文件強調了數據質量差、缺乏標準化和包容性問題等挑戰。解決這些挑戰對於 AI 在各種應用中的有效使用至關重要。
五星數據計劃：建議採用 Tim Berners-Lee 的五星開放數據計劃，其中包括在線提供數據、以結構化和非專有格式、使用 URI 並鏈接數據以提供上下文。這一計劃有助於提高數據的可用性和集成性。
法律和技術方面：技術上開放和法律上開放的數據之間存在區別。法律方面包括指定如何重用數據以及是否需要歸屬，而技術方面則側重於數據格式和可訪問性。
數據生態系統：指南概述了數據生態系統的類型和範圍，強調需要全面的方法來管理和共享數據。這包括收集高質量數據、發展能力並使數據為 AI 準備就緒。</t>
  </si>
  <si>
    <t>https://www.unesco.org/en/articles/open-data-ai-what-now</t>
  </si>
  <si>
    <t>**</t>
  </si>
  <si>
    <t>via Cheng</t>
  </si>
  <si>
    <t>Celebrating 20 Years of Thunderbird: Independence, Innovation and Community</t>
  </si>
  <si>
    <t xml:space="preserve">12 月 7 日 是 Thunderbird 郵件用戶端慶祝二十週年的重要時刻。
Thunderbird 起源於 2003 年，並在 2004 年 12 月 7 日正式推出 1.0 版本。從 Mozilla 專案誕生，Thunderbird 立志提供開源、安全且高度客製化的郵件用戶端。這個初衷不起眼的專案很快成為重視資料自主權者的首選郵件解決方案。
Thunderbird 的旅程並非一帆風順。面臨科技演進、激烈競爭和資金困境，專案遇到不少障礙。2012 年，Mozilla 宣布停止對 Thunderbird 的支持，但熱情的開發者和使用者社群攜手維持專案生命。憑藉著 2 千萬用戶的信任，Thunderbird 轉型為使用者驅動的專案。
Thunderbird 二十年趣聞：Thunderbird 因高度可擴充性而受到科技愛好者和隱私倡議者的讚賞。用戶可透過附加元件進行廣泛客製化；2004 年與 Gmail 同年推出，賦予用戶本機郵件管理和客製化能力；Thunderbird 完全依靠用戶捐款支持開發。令人驚訝的是，不到 3% 的用戶提供財務支持，卻維持了專案的運作。
無論是從一開始就使用 Thunderbird，還是最近才加入，都是重視隱私、獨立和開源創新的全球運動的一份子！
</t>
  </si>
  <si>
    <t>https://blog.thunderbird.net/2024/12/celebrating-20-years-of-thunderbird/</t>
  </si>
  <si>
    <r>
      <rPr>
        <color rgb="FF1155CC"/>
        <sz val="10.0"/>
        <u/>
      </rPr>
      <t>science.org</t>
    </r>
    <r>
      <rPr>
        <sz val="10.0"/>
      </rPr>
      <t xml:space="preserve"> via HN</t>
    </r>
  </si>
  <si>
    <t xml:space="preserve">Google DeepMind releases code behind its most advanced protein prediction program
</t>
  </si>
  <si>
    <t>Google DeepMind 正式釋出其最新的 AI 蛋白質預測工具 AlphaFold3 的原始碼，兌現六個月前對研究社群的承諾。Nature 期刊的指南其實要求學術文章提供程式碼，但 DeepMind 起初刊登 AlphaFold3 時僅提供虛擬碼，與完全開放的 AlphaFold2 形成巨大落差。
在數百位科學家連署的公開信及強烈抨擊後，DeepMind 承諾將完整程式碼開放予非商業用途。現在，他們在 GitHub 上釋出的版本允許研究人員以 CC-BY-NC-SA 4.0 取用運算模型。</t>
  </si>
  <si>
    <t>https://www.science.org/content/article/google-deepmind-releases-code-behind-its-most-advanced-protein-prediction-program
https://news.ycombinator.com/item?id=42106906</t>
  </si>
  <si>
    <t>公私協力, 案例, 應用</t>
  </si>
  <si>
    <t>datacommons.org</t>
  </si>
  <si>
    <r>
      <rPr>
        <color rgb="FF1155CC"/>
        <sz val="10.0"/>
        <u/>
      </rPr>
      <t>datacommons.org</t>
    </r>
    <r>
      <rPr>
        <sz val="10.0"/>
      </rPr>
      <t xml:space="preserve"> 是由 Google 發起的開源協作專案，旨在整理並提升全球公開資訊的可用性。datacommons.org 開放給所有人使用，目標是協助個人和組織藉由提供有用的資料資源，共同因應氣候變遷、糧食安全及經濟不平等等重大社會挑戰。
</t>
    </r>
    <r>
      <rPr>
        <color rgb="FF1155CC"/>
        <sz val="10.0"/>
        <u/>
      </rPr>
      <t>datacommons.org</t>
    </r>
    <r>
      <rPr>
        <sz val="10.0"/>
      </rPr>
      <t xml:space="preserve"> 知識圖譜和彙編資料集採用 CC BY 授權。REST API 和 R 與 Python 函式庫則遵循 Apache 授權 2.0。
</t>
    </r>
    <r>
      <rPr>
        <color rgb="FF1155CC"/>
        <sz val="10.0"/>
        <u/>
      </rPr>
      <t>datacommons.org</t>
    </r>
    <r>
      <rPr>
        <sz val="10.0"/>
      </rPr>
      <t xml:space="preserve"> 與維基數據有何不同？datacommons.org 專注於從政府機關等權威來源彙整現有外部統計資料，不同於維基數據的廣泛範疇。
其他公開資料集專案彙整主題性開放資料集，而 </t>
    </r>
    <r>
      <rPr>
        <color rgb="FF1155CC"/>
        <sz val="10.0"/>
        <u/>
      </rPr>
      <t>datacommons.org</t>
    </r>
    <r>
      <rPr>
        <sz val="10.0"/>
      </rPr>
      <t xml:space="preserve"> 則在大規模層面整合和標準化這些資料集，透過雲端 API 提供便捷存取。這消除了跨不同研究領域重複進行資料清理和合併的作業。</t>
    </r>
  </si>
  <si>
    <t>https://datacommons.org/</t>
  </si>
  <si>
    <t>*****</t>
  </si>
  <si>
    <t>Foursquare Open Source Places: A new foundational dataset for the geospatial community</t>
  </si>
  <si>
    <t>地理空間、位置和地圖資料圖層長期被專有系統主導。這導致產業難以從局限的解決方案轉型到普惠技術，但普惠技術才是真正的客戶價值所在。
為了打破這種現狀，我們正推出一個基礎開源資料集：Foursquare 開源地點資料庫（FSQ OS Places）。這個資料集包含超過 1 億個全球興趣點（POI），並具備 22 個核心屬性。資料每月更新，並可在 Apache 2.0 授權框架下商業使用。
Foursquare 的技術長維克拉姆‧岡德提解釋，這項任務需要一個精密的作業系統，結合人工確認和尖端數位探索系統，以建立具代表性的資料庫。這項工作的複雜性表明，開源社群最適合開發準確的地點資料基礎層。</t>
  </si>
  <si>
    <t>https://location.foursquare.com/resources/blog/products/foursquare-open-source-places-a-new-foundational-dataset-for-the-geospatial-community/</t>
  </si>
  <si>
    <t>Want to design the car of the future? Here are 8,000 designs to get you started.</t>
  </si>
  <si>
    <t>麻省理工學院的工程師們揭露了一個包含逾 8,000 輛車款設計的大型開源資料集，讓未來汽車的想像變得前所未有地容易。這個開創性的資源 DrivAerNet++，包含詳細的空氣動力學資訊，對加速環保車輛和電動車的設計邁出關鍵的一步。
麻省理工學院的開源方法展現了透明度和合作在推進科技創新上的力量，強調開放資料在塑造汽車產業永續未來中扮演的關鍵角色。
該資料集提供多種格式，如參數式、點雲、3D 網格等，讓不同的人工智慧模型能有效處理資料。這個全面的資料庫是車輛空氣動力學領域最大的資料集，旨在讓先前由車廠壟斷的關鍵設計資料得以民主化。
傳統上，汽車設計是一個耗時且封閉的流程，車廠透過成本高昂的模擬和測試反覆改進設計。這項工作獲得龐大的運算資源支持，包括麻省理工學院超級雲端上超過 300 萬小時的 CPU 運算，產生了 39 TB 的資料。這些努力凸顯了創建一個不僅能提升汽車設計人工智慧能力，還能成為永續交通未來催化劑的工具的決心。</t>
  </si>
  <si>
    <t>https://news.mit.edu/2024/design-future-car-with-8000-design-options-1205</t>
  </si>
  <si>
    <t>https://github.com/Mohamedelrefaie/DrivAerNet</t>
  </si>
  <si>
    <t>Attribution-NonCommercial 4.0 International</t>
  </si>
  <si>
    <t>推動, 技術</t>
  </si>
  <si>
    <t>Konstantin Vinogradov via HN</t>
  </si>
  <si>
    <t>How I algorithmically donated $5000+ to Open Source via GitHub Sponsors and PyPI data</t>
  </si>
  <si>
    <t>開源軟體是我們科技世界的骨幹，這項公共財的價值約為九兆美元，主要由志願者建置。然而，缺乏適當維護，它可能會危及自身所支持的基礎架構。這突顯了為開源軟體維護者提供有效資助策略的關鍵必要性，以保護軟體供應鏈。
目前的資助機制卻存在缺陷。大型開源基金會往往與企業利益一致，專注於 Kubernetes 和 Linux 等知名專案，忽略了 Log4J 等規模較小但同樣重要的開源元件。這種疏忽為尋求透明度的私人捐助者帶來挑戰。
雖然 Thanks.dev、Open Collective 和 GitHub 贊助等平台提供了捐助管道，但它們傾向於支持熱門專案，而非最為關鍵的專案。這種錯位對開源軟體的永續性構成風險。
一個潛在解決方案是為開源軟體資助者建立演算法指數，類似於投資 ETF 而非挑選個股。這樣的指數將聚焦至關重要但資金不足的專案，猶如開源領域的「標普五百指數」。
在缺乏此類架構的情況下，我為 Python 開發了一個原型，透過 GitHub 贊助和 PyPI 資料捐贈逾五千美元。GitHub 的贊助計畫自二○一九年成立以來，已引導超過四千萬美元的捐款。</t>
  </si>
  <si>
    <t>https://kvinogradov.com/algo-sponsors/</t>
  </si>
  <si>
    <t>***</t>
  </si>
  <si>
    <t>Google Security Blog via HN</t>
  </si>
  <si>
    <t>Announcing the launch of Vanir: Open-source Security Patch Validation</t>
  </si>
  <si>
    <t>Vanir 是一款革命性的開源工具，旨在簡化安全補丁驗證流程，Vanir 協助開發者自動偵測平台程式碼中遺漏的安全補丁。這項創新確保裝置能迅速接收關鍵安全更新，強化 Android 生態系統的安全性，並全球性地保護使用者。
將 Vanir 開源反映了我們致力於與更廣大的資安社群互動，雖然是為 Android 量身打造，但 Vanir 靈活的架構使其能以最少的修改無縫整合到各種科技環境中。
Vanir 以原始碼為基礎的靜態分析方法脫穎而出。不同於傳統依賴版本號等元資料的方法，Vanir 直接檢查原始碼是否存在已知漏洞。這種創新方法便於全面分析整個程式碼庫或特定程式碼片段，降低了元資料依賴系統常見的錯誤。
Vanir 的能力跨越不同生態系統。它為支援的程式語言產生簽名，透過自動產生和精煉簽名，實現快速回應漏洞。其效率的明證是，一位工程師僅用五天就識別出逾一百五十個漏洞，並驗證了跨分支的遺漏補丁。
目前，Vanir 支援 C/C++ 和 Java 目標，解決了 95% 具公開補丁的 Android 核心和用戶空間 CVE 。與開源漏洞（OSV）資料庫整合，確保無需額外更新就能防禦新威脅。工具快速掃描的能力進一步提升了其價值。</t>
  </si>
  <si>
    <t>https://security.googleblog.com/2024/12/announcing-launch-of-vanir-open-source.html</t>
  </si>
  <si>
    <t>https://github.com/google/vanir</t>
  </si>
  <si>
    <t>技術, 案例, 趨勢</t>
  </si>
  <si>
    <t>sethmlarson.dev via HN</t>
  </si>
  <si>
    <t>New era of slop security reports for open source</t>
  </si>
  <si>
    <t>在開源安全不斷演進的環境中，一個令人憂心的趨勢已經浮現：低品質、類似垃圾訊息的安全報告氾濫，這些報告通常由人工智慧系統產生。身為一個積極參與 CPython、pip、urllib3 和 Requests 等知名專案安全報告篩選的人，我親身見證了這些可疑報告所帶來的挑戰。在大型語言模型（LLM）主導的時代，這些報告乍看之下似乎很正當，但卻耗費大量時間來駁斥。其他專案，如 curl，也注意到類似的問題。
當報告者使用各種自動化安全工具產生漏洞報告，卻未運用關鍵的人類判斷力時，核心問題就會產生。舉例來說，urllib3 收到一份標記 SSLv2 使用為不安全的報告，儘管我們明確打算停用它。這個普遍存在的問題影響了無數開源專案，尤其是安全工作的敏感性質，使維護者不願公開分享他們的經驗。
進行漏洞掃描的報告者應遵守最佳實務：避免依賴人工智慧 / 大型語言模型進行漏洞偵測；理解程式碼需要人類洞察力。未經同意，不要在開源志工身上進行實驗。
雖然許多漏洞報告者出於善意，旨在改善安全性，但大量報告品質低落，這影響了所有相關人員的體驗。我們必須迅速解決此問題，以維護開源安全工作的誠信和效能。</t>
  </si>
  <si>
    <t>https://sethmlarson.dev/slop-security-reports</t>
  </si>
  <si>
    <r>
      <rPr>
        <color rgb="FF1155CC"/>
        <sz val="10.0"/>
        <u/>
      </rPr>
      <t>arstechnica.com</t>
    </r>
    <r>
      <rPr>
        <sz val="10.0"/>
      </rPr>
      <t xml:space="preserve"> via HN</t>
    </r>
  </si>
  <si>
    <t>Company claims 1,000 percent price hike drove it from VMware to open source rival</t>
  </si>
  <si>
    <t>隨著 Broadcom 收購 VMware 後，使其收費漲幅超過百分之 1000，因此許多企業正轉移到開源的虛擬化方案。
英國雲端營運商 Beeks Group 就是一個顯著的案例，該公司近期將超過 2 萬台虛擬機器大部分轉移至開源雲端與邊緣運算平台 OpenNebula 。這項決策源於授權成本驚人的增長。Beeks 生產管理負責人馬修‧克雷特尼表示，新的 VMware 軟體授權帳單較先前高出十倍。
OpenNebula Systems 執行長伊格納西奧‧洛倫特針對此趨勢評論，指出許多組織正因信任問題加上近期頻繁的價格調漲，而積極尋找封閉軟體的替代方案。他指出，企業如今更渴望掌控更具可靠性的解決方案。
Broadcom 的變革影響不僅限於 Beeks Group。像是 AT&amp;T 在跟 Broadcom 和解前，原本預估的 VMware 支出將增加逾 1,000 ％。為緩解反彈，Broadcom 推出針對中小企業的新訂閱層級，但這仍未阻止企業對 OpenNebula 等開源方案的興趣。</t>
  </si>
  <si>
    <t>https://arstechnica.com/information-technology/2024/12/company-claims-1000-percent-price-hike-drove-it-from-vmware-to-open-source-rival/</t>
  </si>
  <si>
    <t>Amos: 可帶回去 pmpc 討論</t>
  </si>
  <si>
    <r>
      <rPr>
        <color rgb="FF1155CC"/>
        <sz val="10.0"/>
        <u/>
      </rPr>
      <t>publicdomainreview.org</t>
    </r>
    <r>
      <rPr>
        <sz val="10.0"/>
      </rPr>
      <t xml:space="preserve"> via HN</t>
    </r>
  </si>
  <si>
    <t xml:space="preserve">What Will Enter the Public Domain in 2025?
</t>
  </si>
  <si>
    <t>一月一日為一批嶄新的創意作品揭開公共領域的大門，讓這些作品可以被自由享用、分享與再利用。著作權法的細微差異在全球各地各有不同，因此形成多元的公共領域類別。在此，我們聚焦三大地區在 2025 年即將進入公共領域的作品：
在英國、俄羅斯、歐盟大部分地區及南美等「生命加七十年」版權期限的國家，1954 年逝世創作者的作品將可使用。
對於紐西蘭和非洲、亞洲大部分地區的「生命加五十年」國家而言，1974 年逝世者的作品將進入公共領域。
在美國，1929 年出版的電影和書籍，包括相關藝術作品，將可公開取用。
備受期待的作品包括亨利‧馬蒂斯的傑作和甘地的《我的真理實驗》。文學經典如海明威的《告別武器》、阿萊斯特‧克勞利的《魔法：理論與實踐》，以及維吉尼亞‧吳爾夫的《屬於自己的房間》也將加入公共領域。此外，杜克‧艾靈頓的音樂作品和芙烈達‧卡蘿的藝術創作也將可供使用。</t>
  </si>
  <si>
    <t>https://publicdomainreview.org/features/entering-the-public-domain/2025/</t>
  </si>
  <si>
    <t>https://publicdomainreview.org/features/entering-the-public-domain/</t>
  </si>
  <si>
    <r>
      <rPr>
        <color rgb="FF1155CC"/>
        <sz val="10.0"/>
        <u/>
      </rPr>
      <t>LWN.net</t>
    </r>
    <r>
      <rPr>
        <sz val="10.0"/>
      </rPr>
      <t xml:space="preserve"> via HN</t>
    </r>
  </si>
  <si>
    <t>GIMP 3.0 — a milestone for open-source image editing</t>
  </si>
  <si>
    <t>備受矚目的 GIMP 3.0 即將推出，為這款開源影像編輯器的發展史上劃下重要的里程碑。這次更新是自 2018 年 4 月以來首次重大升級，導入了許多嶄新的改善，包括全新的 GTK 3 使用者介面，以及核心平台和外掛程式的轉型性變革。使用者可以期待更出色的效能、可用性，以及對 Wayland 和複雜輸入裝置的擴充相容性。
轉向 GTK 3 也帶來了煥然一新的使用者介面，支援 CSS 主題，提供四種預設主題，包含高對比的無障礙設計選項。更新後的設計整合了 GTK 的標題列，造型更加簡潔，同時保留傳統選單介面以維持熟悉感。全新的歡迎畫面為使用者提供實用的連結和快速設定選項，優化了軟體的初次使用體驗。
GIMP 3.0 的重點之一是無縫整合通用圖形庫（GEGL），大幅提升影像處理能力。這個非破壞性編輯框架讓使用者可以套用濾鏡和特效，而不會改變原始影像資料，並提供即時預覽，簡化編輯流程。記憶體管理和多執行緒的改善，為處理大型影像帶來顯著的速度提升。
GIMP 3.0 為開源影像編輯邁出重要的一步，為開源生態系統的持續成長和改進奠定了基礎。</t>
  </si>
  <si>
    <t>https://lwn.net/SubscriberLink/998793/6c8d00bd1b2a7948/</t>
  </si>
  <si>
    <t>案例, 研究, 應用</t>
  </si>
  <si>
    <r>
      <rPr>
        <color rgb="FF1155CC"/>
        <sz val="10.0"/>
        <u/>
      </rPr>
      <t>zenodo.org</t>
    </r>
    <r>
      <rPr>
        <sz val="10.0"/>
      </rPr>
      <t xml:space="preserve"> via HN</t>
    </r>
  </si>
  <si>
    <t>Bluesky Social Dataset</t>
  </si>
  <si>
    <t>由於社交媒體 API 的存取受限，缺乏近期且公開的社交媒體資料，這阻礙了量化社會科學的進展。此資料集彙整了 bluesky 上龐大的社交互動和使用者產生的內容，意圖填補這個空白。資料集涵蓋超過四百萬名使用者的全部貼文歷史，佔所有註冊帳號的百分之八十一，共計兩億三千五百萬篇貼文。
資料集還提供追蹤、留言、轉貼和引用的相關資料。採用創用 CC 姓名標示 4.0 國際授權條款（cc-by-4.0）散布。依照 GDPR（第 17 條），若使用者帳號在 2024 年 3 月 21 日前啟用，可要求刪除資料。資料集已去識別化以符合隱私規範，移除使用者名稱並粗化時間戳記，保護個人身份。
本專案獲得以下單位支持：歐盟地平線 2020 計畫「INFRAIA-01-2018-2019 – 先進社群整合活動」，補助編號 871042。SoBigData.it，由歐盟 NextGenerationEU 透過義大利國家復甦與韌性計畫（PNRR）資助，專案編號 IR0000013。歐盟 NextGenerationEU 計畫下的 PNRR-PE-AI FAIR 人工智慧研究資助計畫。
這份全面的資料集不僅促進社會科學研究的進展，更凸顯了開放資料對公共利益和數位環境透明度的重要性。</t>
  </si>
  <si>
    <t>https://zenodo.org/records/14258401</t>
  </si>
  <si>
    <r>
      <rPr>
        <color rgb="FF1155CC"/>
        <sz val="10.0"/>
        <u/>
      </rPr>
      <t>chipwits.com</t>
    </r>
    <r>
      <rPr>
        <sz val="10.0"/>
      </rPr>
      <t xml:space="preserve"> via HN</t>
    </r>
  </si>
  <si>
    <t xml:space="preserve">ChipWits’ 40th Birthday: Original FORTH Code Open Sourced!
</t>
  </si>
  <si>
    <t>ChipWits 是 1984 年麥金塔電腦最早推出的遊戲之一。聯合創辦人 Doug Sharp 和 Mike Johnston 兼職在 8 位元微型電腦間移植教育遊戲，以維持生計。在這段期間，他們構思了第一款原創遊戲 ChipWits，是一款可以訓練問題解決能力並且能培養電腦程式開發概念的遊戲。
本月是 ChipWits 四十週年！為了紀念這個里程碑，我們將以 CC-BY SA 4.0 授權條款釋出所有可用的 Mac 和 Commodore 64 原始 FORTH 原始碼。</t>
  </si>
  <si>
    <t>https://chipwits.com/2024/11/16/chipwits-40th-birthday-original-forth-code-open-sourced/</t>
  </si>
  <si>
    <t>Open Source Initiative via Ian</t>
  </si>
  <si>
    <t>Copyright law makes a case for requiring data information rather than open datasets for Open Source AI</t>
  </si>
  <si>
    <t>著作權法規定開源人工智慧需要資料資訊而不是開放資料集
開源軟體作者提供原始碼、允許軟體被複製使用，不會侵害第三方著作權。然各地的著作權法對於人工智慧有一些法定例外- 即可已因人工智慧目的進行文字與資料探勘(text and data mining)，亦即其訓練資料是來自其他人有著作權保護的資料，但只能複製，不能公開。因此，如果要求人工智慧模型公開完整訓練資料集，會違反著作權法。如果要確保人工智慧模型之訓練合法，則就會限制其學習的範圍。或是在跨國使用時，會因各國著作權法差異而有所限制。
開源AI 定義貢獻者之一 Felix Reda 強調，由於著作權法限制，要求公開所有訓練資料並不實際，且可能違背現有法律例外規定，例如文本和資料探勘(text and data mining)。他提出「資料資訊」(data information) 作為替代方案，此方案著重於提供足夠資訊讓其他人能重建類似的訓練資料集，而非直接公開原始資料。</t>
  </si>
  <si>
    <t>https://opensource.org/blog/copyright-law-makes-a-case-for-requiring-data-information-rather-than-open-datasets-for-open-source-ai</t>
  </si>
  <si>
    <t>開源AI、開源定義、著作權法</t>
  </si>
  <si>
    <t>YH: 雖然之前有類似的選錄。但是這篇讓我才真的有看懂開源 AI 為什麼在開源上技術上困難的爭議。
***</t>
  </si>
  <si>
    <t xml:space="preserve">Tech Crunch </t>
  </si>
  <si>
    <t>Elastic founder on returning to open source four years after going proprietary</t>
  </si>
  <si>
    <t>Elastic是企業搜尋和資料檢索引擎Elasticsearch和Kibana視覺化儀表板的創建者。在與亞馬遜的雲端子公司 AWS 發生數年衝突後，Elastic 於 2021 年轉向閉源。今年重返開源，該公司沒有重新採用以前寬鬆的 Apache 2.0 許可證，而是採用較嚴格的AGPL，它要求任何衍生軟體都在相同的 AGPL 許可證下發布。</t>
  </si>
  <si>
    <t>https://techcrunch.com/2024/09/29/elastic-founder-on-why-they-returned-to-open-source-four-years-after-going-proprietary/</t>
  </si>
  <si>
    <t>開源授權、閉源</t>
  </si>
  <si>
    <t>Sequoia backs Pydantic to expand beyond its open source data-validation framework</t>
  </si>
  <si>
    <t>英國開源新創公司的獲利模式：不銷售開源專案產品，而是將其作為行銷工具
新創公司建立開源業務的典型軌跡是這樣的：創造一個解決實際問題的開源產品；該產品受到了開發人員的關注，成為他們堆疊中不可或缺的工具；該新創公司在核心開源專案之上創建商業服務和功能，使其更加有用。
但越來越多企業以某種形式退出開源，如採用不寬鬆/嚴格的開源授權 (如 Grafana) 或是完全放棄(如 HashiCorp)，為了保護公司的開源產品憑證不被大公司利用。甚至出現甚至出現了一種全新的授權模式「公平原始碼」(Fair Source)，如來解決開源中的「使用和濫用」問題。此為開發工具公司 Sentry 推動，尋求與「開放」軟體(“open” software ) 保持一致，但實際上並不開源。
此文介紹開源新創公司Pydantic的不同作法-  他本身有個開源專案Pydantic，但並不尋求將其作為商業產品銷售，而是利用其專案的吸引力來銷售其他產品 (Logfire 開源資料驗證框架)，而獲得 A 輪融資。</t>
  </si>
  <si>
    <t>https://techcrunch.com/2024/10/01/sequoia-backs-pydantic-to-expand-beyond-its-open-source-data-validation-framework/</t>
  </si>
  <si>
    <t>開源商業模式, Fair source</t>
  </si>
  <si>
    <t>2024 Dec 13</t>
  </si>
  <si>
    <t>Github via cheng</t>
  </si>
  <si>
    <t xml:space="preserve">What the EU’s new software legislation means for developers
</t>
  </si>
  <si>
    <t>開源專案的參與者必須了解歐盟網路韌性法案（CRA）的影響，該法案將在 2027 年全面實施，為歐盟境內的軟體引入資安要求，目的是讓軟體生態系減少漏洞並對抗資安威脅。
CRA 是為了應對如過時的智慧型手機和未受保護的物聯網裝置所帶來的各種網路安全威脅而制定。法案劃分了軟體製造商、進口商和分銷商的責任，這引起許多開源貢獻者對其在新法案下義務的疑問。雖然個人對開源專案的貢獻可能不在 CRA 的範圍內，但由於後續立法仍在制定中，仍存在不確定性。許多倡議團體致力於確保對「商業活動」有清晰的定義，以避免對非商業開源專案造成不當的合規負擔。
如果開源專案是以商業目的提供，即使是免費的，還是可能被視為 CRA 下的製造商。該法案引入了「開源軟體管理者」的概念—支持開源軟體商業使用的實體—他們將比製造商面臨較輕的監管義務。</t>
  </si>
  <si>
    <t>https://github.blog/open-source/maintainers/what-the-eus-new-software-legislation-means-for-developers/</t>
  </si>
  <si>
    <t>berthub.eu via HN</t>
  </si>
  <si>
    <t>Open Source on its own is no alternative to Big Tech</t>
  </si>
  <si>
    <t>將開源與大型科技公司相比，就像是比較烤箱和餐廳。大型科技公司在其資料中心內提供強大且有完善支援的服務，而開源則需要投入專門的努力，才能轉變成可用的服務，例如「工作場所即服務」。
歐洲議會曾嘗試以 Nextcloud 取代大型科技解決方案，但因缺乏專業支援和訓練而遭遇挑戰。這凸顯了不僅是軟體本身的重要性，更要看重其所伴隨的支援生態系統和基礎設施。
開源之所以頻繁被討論，是因為在大型科技公司之外別無選擇，且其「免費」特性頗具吸引力。然而，即便是提供全方位軟體解決方案的蘋果公司，也不會將主要目標鎖定在企業市場，因為其銷售流程複雜，且需要相應的支援。
投資開源應該與投資大型科技解決方案的力度相當，以創造具有競爭力的替代方案。這包括支援和補償軟體開發者，以確保持續創新。為了培育成功的開源專案，組織應聚焦於可達成的範疇、徹底的變革管理、充分的訓練、豐富的伺服器資源，以及裝備完善的技術支援中心。這些條件對於任何成功的資訊技術轉型都至關重要。</t>
  </si>
  <si>
    <t>https://berthub.eu/articles/posts/open-source-by-itself-is-no-alternative-for-big-tech/</t>
  </si>
  <si>
    <t>the register via HN</t>
  </si>
  <si>
    <t>The open secret of open washing – why companies pretend to be open source</t>
  </si>
  <si>
    <t>在開放科技的領域中，「洗白式開放」（openwashing）已成為一個重大隱憂。這種作法是指企業將其軟體和模型標示為「開源」，但卻未遵守透明與開放的真正原則。Meta 的 AI 模型 Llama 3 就是一個未達 OSI 標準的例子，引發了濫用「開源」一詞的爭論。
洗白式開放讓企業可以獲得被視為開源的好處 — 提升公共形象和消費者信任 — 卻不必承擔相應的責任和價值。隨著 AI 技術擴張，這種誤導性做法已經相當普遍，研究顯示，像 Google、Meta 和 Microsoft 等公司的許多知名模型都未符合開源標準。
這種誤導源自法規誘因，例如歐盟 AI 法案對開源模型提供寬鬆條件。因此，企業有動機將其技術呈現為開源，以避免嚴格法規和成本。
保護真正開源價值的重要性在於讓開發者擁有促進創新的權利。若缺乏這些自由，法律複雜性和不願公開分享創新可能會阻礙進步。忽視這個呼籲可能導致更多法律糾紛，並削弱推動技術進步的開源協作精神。</t>
  </si>
  <si>
    <t>https://www.theregister.com/2024/10/25/opinion_open_washing/</t>
  </si>
  <si>
    <t>IEEE spectrum via HN</t>
  </si>
  <si>
    <t>Open-Source Software Is in Crisis Here are three ways to help it flourish into the futureRina Diane Caballar13 Nov 20245 min read</t>
  </si>
  <si>
    <t>WP Engine 被指控透過龐大獲利卻未適當回饋 WordPress 社群的衝突，凸顯了開源生態系的弊病。Sentry 的 Chad Whitacre 呼應了這種觀點，他表示儘管開源授權促進了廣泛分享，但也很難讓開發者永續進行貢獻。
對開源軟體的依賴已急劇攀升，Linux 基金會指出目前 70-90% 的應用程式建立在開源基礎上。然而，要求他們及時更新與修補安全漏洞，對開源貢獻者形成龐大壓力。更甚者，維護者的倦怠感正在提升，源於財務壓力和缺乏社會認可。
為了因應這些議題並鞏固開源生態系統，Whitacre 建議三種策略：商業化、課稅和社群認可。商業化涉及發展間接支持開源工作的商業模式，如圍繞免費軟體提供付費服務。課稅模式，如德國的主權科技基金（STF），提供政府支持的財務援助，用於關鍵開源專案和韌性計畫。社群認可，如 Drupal 的貢獻積分系統，透過能見度和誘因獎勵貢獻者。</t>
  </si>
  <si>
    <t>https://spectrum.ieee.org/green-concrete</t>
  </si>
  <si>
    <r>
      <rPr>
        <color rgb="FF1155CC"/>
        <sz val="10.0"/>
        <u/>
      </rPr>
      <t>automattic.com</t>
    </r>
    <r>
      <rPr>
        <sz val="10.0"/>
      </rPr>
      <t xml:space="preserve"> via HN</t>
    </r>
  </si>
  <si>
    <t>Defending Open Source: Protecting the Future of WordPress</t>
  </si>
  <si>
    <t>Automattic 執行長暨 WordPress 共同創辦人 Matt Mullenweg 敦促私募基金公司 Silver Lake 和其旗下的 WP Engine 尊重 WordPress 商標並回饋社群。儘管 WP Engine 的營收從 2018 年的 1 億美元成長到 2024 年的超過 4 億美元，但他們的商標使用模糊了界線，導致使用者混淆，Matt 表示「從開源專案獲利的企業應該回饋；否則，就不該濫用其商標。」
將近一年，Matt 一直尋求解決商標使用和社群貢獻的方案。他提議 WP Engine 要麼授權 WordPress 商標，要麼將 8% 的營收投入平台發展 — 考慮到他們的營收激增，這是合理的要求。WordPress 基金會守護「WordPress」等商標，確保使用符合社群標準。Automattic 的營收顯著支持 WordPress 專案，每年貢獻超過 2,000 萬美元的資源。
在 2024 年 9 月的 WordCamp US 上，Matt 聚焦 WP Engine 對 WordPress 的剝削。通過限制 plugin 目錄存取和發出停止侵權通知，Automattic 強調了他們保護社群免受系統性干預的決心。WordPress 以自由、協作和開放為生，其韌性在於一個致力於對抗那些不回饋就剝削開源生態系統的團體。</t>
  </si>
  <si>
    <t>https://automattic.com/2024/protecting-wordpress/</t>
  </si>
  <si>
    <r>
      <rPr>
        <color rgb="FF1155CC"/>
        <sz val="10.0"/>
        <u/>
      </rPr>
      <t>xuanwo.io</t>
    </r>
    <r>
      <rPr>
        <sz val="10.0"/>
      </rPr>
      <t xml:space="preserve"> via HN</t>
    </r>
  </si>
  <si>
    <t>A letter to open-source maintainers</t>
  </si>
  <si>
    <t>（編按：致開源維護者的反情勒指南）
歡迎來到開源的活躍世界。你們投入時間、創意與熱情的專案，深受讚賞。無論你是受到 Richard Stallman 的理念啟發，想要改變世界，渴望創新，每一份貢獻都以有意義的方式豐富我們的世界。
開源貢獻者不應被要求：持續維護專案、管理議題和審核合併請求、撰寫詳細文件、準時更新、滿足社群需求、永遠記住：如果不再感到快樂，選擇退出是可以的。
放手一個專案既不是失敗，也不是錯誤。「只有我能做」這個想法是有缺陷的。並非只有你能維護專案。如果經過仔細考慮後決定留下，以下是一些建議：確保專案可以獨立運作、徹底記錄核心架構、避免關鍵工作流程依賴個人帳號。
作為維護者，我們必須明確設定邊界。如果失去快樂，選擇離開是可以的。避免默默成為犧牲者。願你在開源事業中找到滿足。</t>
  </si>
  <si>
    <t>https://xuanwo.io/2024/10-a-letter-to-open-source-maintainers/</t>
  </si>
  <si>
    <r>
      <rPr>
        <color rgb="FF1155CC"/>
        <sz val="10.0"/>
        <u/>
      </rPr>
      <t>lucumr.pocoo.org</t>
    </r>
    <r>
      <rPr>
        <sz val="10.0"/>
      </rPr>
      <t xml:space="preserve"> via HN</t>
    </r>
  </si>
  <si>
    <t>The Inevitability of Mixing Open Source and Money</t>
  </si>
  <si>
    <t>Armin Ronacher 表示今年在 Sentry ，他參與了「開源承諾」（Open Source Pledge）的啟動 — 這是一個簡單的概念，企業將按照開發者人數比例，捐款給他們依賴的開源專案。
許多成功的開源專案，如 Linux 、MariaDB 和 Redis ，都得到具商業利益的公司支持。有些專案主要為行銷或上架目的獲得資金，如 Next.js 和 Pydantic 。即使沒有直接資助，商業實體也可能從開源專案獲利，卻不回饋原創者。這些關係都會引發論戰。Rails 有基金會、重要研討會、核心團隊和商標，而 Flask 沒有，這並非巧合。將專案推向永續發展需要龐大努力。
將開源與金錢混合是否明智？或許不完全是。然而，面對這現實是必要的。有些專案難以獲得資金（如 xz ），而其他專案則透過財務管道確保永續（如 Rails 、WordPress ）。
Open Source Pledge 主要針對難以吸引資金的小型專案。它引發關於稅務影響、社群永續發展、誘因、分配和治理的問題，但正如 WordPress 近期的爭議所示，無論專案大小，我們都必須持續討論如何將金錢融入開源。</t>
  </si>
  <si>
    <t>https://lucumr.pocoo.org/2024/10/14/mixing-oss-and-money/</t>
  </si>
  <si>
    <r>
      <rPr>
        <color rgb="FF1155CC"/>
        <sz val="10.0"/>
        <u/>
      </rPr>
      <t>gyptazy.com</t>
    </r>
    <r>
      <rPr>
        <sz val="10.0"/>
      </rPr>
      <t xml:space="preserve"> via HN</t>
    </r>
  </si>
  <si>
    <t xml:space="preserve">FreeBSD: How Can We Make It More Attractive to New Users?
</t>
  </si>
  <si>
    <t>近十五年來，FreeBSD 在儲存、網路和安全性方面的可靠性無可比擬。提供了在當今快速變遷的科技環境中罕見的穩定性。Netflix 、微軟和 AMD 等大廠支持 FreeBSD，凸顯了它的實力和生命力。然而，隨著科技版圖的演變，FreeBSD 也必須調整以保持流行。
在早期，FreeBSD 必須在保持其標誌性的簡潔和穩定性的同時納入這些功能。虛擬化就是一個典型例子。Xen 和 VMware 等解決方案多年來一直佔據主導地位，而 FreeBSD 則有 bhyve。然而 bhyve 仍缺乏即時虛擬機遷移的穩定支援——這是企業級的關鍵功能。
但要吸引更廣泛的使用者，它必須變得更容易存取且使用者友善，在筆記型電腦和桌上型電腦上，藍牙和 WiFi 等硬體元件的支援一直是個挑戰。雖然 FreeBSD 在伺服器環境中表現卓越，但使用者往往會因缺乏關鍵硬體功能的即插即用支援而感到沮喪。FreeBSD 基金會正在解決這些缺口，變革正在進行中。這種策略性轉型對於在以行動工作站為主的環境中保持競爭力至關重要。現代使用者期望無需複雜配置就能順暢運作。提升 WiFi 、藍牙和其他筆記型電腦特定功能的支援，對於擴大採用至關重要。
FreeBSD 不是遺物，而是一個有潛力的系統，提供使用者友善的介面，同時保持技術穩健性，是關鍵。</t>
  </si>
  <si>
    <t>https://gyptazy.com/freebsd-how-can-we-make-it-more-attractive-to-new-users/</t>
  </si>
  <si>
    <t>techcrunch via HN</t>
  </si>
  <si>
    <t>OpenStack is ready for the VMware refugees</t>
  </si>
  <si>
    <t>由於 Broadcom 收購 VMware 後成本不斷攀升，許多企業客戶正尋找替代方案。VMware 過去在企業級虛擬化領域一直是標竿，但所有權轉移促使企業尋找其他選擇。因此，開源雲端基礎架構管理專案 OpenStack 正重新受到關注，並吸引大量新用戶。
現在，OpenStack 生態系統和其支持機構 OpenInfra 基金會，正準備從尋找新解決方案的前 VMware 客戶中獲益。OpenInfra 基金會執行長喬納森‧布萊斯指出，Broadcom 的行動直接導致企業 IT 領域出現不確定性，因此 OpenStack 意外地重新受到關注。
OpenStack 的功能與 VMware 大致相當，並已被認可為穩定系統。近期更新強化了對 AI 和高效能運算工作負載的支援。在「斑點狗」版本中，新增了 GPU 實例預留和安全增強功能，如虛擬可信平台模組（vTPM）。
新用戶的湧入正在重振 OpenStack 生態系統，並為該領域專業人才創造需求。像 Mirantis 這樣的公司正加大對 OpenStack 日益增長興趣的支持力度。柯利爾將這種轉變歸因於客戶對 Broadcom 對 VMware 的定價策略的不滿，並強調開源社群中信任的重要性。
對於面臨供應商突然提高成本的企業來說，OpenStack 提供了一個可行的開源替代方案，能擺脫對單一供應商的依賴。</t>
  </si>
  <si>
    <t>https://techcrunch.com/2024/10/02/openstack-is-ready-for-the-vmware-refugees/?guccounter=1</t>
  </si>
  <si>
    <r>
      <rPr>
        <color rgb="FF1155CC"/>
        <sz val="10.0"/>
        <u/>
      </rPr>
      <t>ibm.com</t>
    </r>
    <r>
      <rPr>
        <sz val="10.0"/>
      </rPr>
      <t xml:space="preserve"> via HN</t>
    </r>
  </si>
  <si>
    <t xml:space="preserve">IBM Granite 3.0: open, state-of-the-art enterprise models
</t>
  </si>
  <si>
    <t>IBM 以 Apache 2.0 授權釋出大型語言模型（LLM）Granite 3.0，與業界專有授權的趨勢形成對比。
Granite 3.0 的開放性延伸至訓練資料集和方法論的全面文件，強化了 AI 部署的信任與安全。
開發者可透過 GitHub 上的 Granite Snack Cookbook 和 IBM Granite playground 探索這些創新，裡面包含 function calling 到建立 RAG 系統的多元應用場景。</t>
  </si>
  <si>
    <t>https://www.ibm.com/new/ibm-granite-3-0-open-state-of-the-art-enterprise-models</t>
  </si>
  <si>
    <t>開源與金錢混合的必然性
- 開源承諾啟動：Sentry啟動了開源承諾，企業根據開發人員數量資助所依賴的開源專案。
- WordPress危機：WordPress面臨開源理念與商業利益衝突的危機，顯示出開源與金錢之間的矛盾。
- David Heinemeier Hansson觀點：他批評Automattic無權強加道德責任，並探討了其創始人Matt Mullenweg的行為後果。
- 成功與挑戰的對比：Rails等專案獲得商業支持，而Flask等則缺乏資源，導致生存困難。
- 心理健康問題：許多開源貢獻者面臨心理健康挑戰，這些問題往往與他們的開源工作有關。</t>
  </si>
  <si>
    <t>The New stack via HN</t>
  </si>
  <si>
    <t xml:space="preserve"> Avoiding a Geopolitical Open Source Apocalypse </t>
  </si>
  <si>
    <t>避免地緣政治開源啟示錄
- 地緣政治影響：由於當前的地緣政治氣候，西方公司對於採用中國開源軟體持謹慎態度，尤其是金融機構等風險敏感的行業。
- 市場接受度：西方公司可能更願意使用由西方開發者主導的開源軟體，而中國機構則偏好本土開源專案，這導致了雙方之間的隔閡。
- 安全性擔憂：儘管開源軟體被認為具有透明性，但其安全性仍然受到質疑，特別是當涉及到供應鏈安全問題時。
- 開源專案的發展：中國在開源領域的參與度逐漸提高，並且在GitHub上擁有大量的開發者，但這並未改變西方對其產品的採納意願。
- 未來挑戰：隨著全球開源生態系統的發展，如何在東西方之間建立信任和合作將成為一個重要課題，以避免開源社群的分裂。</t>
  </si>
  <si>
    <t>https://thenewstack.io/avoiding-a-geopolitical-open-source-apocalypse/</t>
  </si>
  <si>
    <t>kv4p HT via HN</t>
  </si>
  <si>
    <t>Turn your Android phone into a modern ham radio transceiver</t>
  </si>
  <si>
    <t>將您的 Android 手機變成現代業餘無線電收發器
- kv4p HT 是一款自製的 VHF 無線電設備，可將 Android 智慧型手機轉變為功能齊全的手持式無線電收發器。
- 該設備只需插入手機的 USB-C 端口即可使用，完全開源（GPL3），包括 Android 應用程式、韌體、PCB 設計和 3D 列印檔案。
- 體積小巧，適合隨身攜帶，無內建電池設計使其成為理想的應急設備。
- 具有清晰的 44kHz 8 位元音頻、APRS 訊息功能、無限記憶頻道掃描等特點。
- 僅需 35 美元即可自行組裝，1 瓦發射功率可傳輸數英里，並提供多種輔助使用選項。</t>
  </si>
  <si>
    <t>https://www.kv4p.com/</t>
  </si>
  <si>
    <t>Zerodha via HN</t>
  </si>
  <si>
    <t>Announcing FLOSS/fund: $1M per year for free and open source projects</t>
  </si>
  <si>
    <t>Zerodha宣布推出FLOSS/fund計劃，每年為開源項目提供100萬美元資金
- 該基金將為單個接受者提供最少1萬美元，最多10萬美元的資金支持，旨在解決開源項目資金可持續性的問題
- FLOSS/fund將通過一個名為funding.json的標準化清單文件來接受項目的資金申請，該文件可以添加到項目存儲庫和網站中，以表明其資金需求
- 該計劃的動機包括表達善意和互惠精神，以及從商業角度支持開源生態系統的發展，因為許多科技公司的存在都依賴於開源軟件
- Zerodha希望通過這一計劃鼓勵其他企業也建立結構化的開源資金支持項目，並為現有的開源資金模式和可持續性討論做出貢獻</t>
  </si>
  <si>
    <t>https://floss.fund/blog/announcing-floss-fund/</t>
  </si>
  <si>
    <t>Spliit via HN</t>
  </si>
  <si>
    <t>Spliit by the Stats: Usage, Costs, Donations</t>
  </si>
  <si>
    <t>作者分享個人專案 "Spliit" 服務上線一年後的使用狀況、使用熱點、收入狀況等資料。
聲明此專案從一開始便不是為了營利而上線，所付出的成本多為資料庫託管費，而唯一的收入來自捐獻。
作者聲明自已不需要捐款維持生活，添加捐款功能有兩個原因：
- 有些用戶非常喜歡這個項目，他們要求以一種方式回饋。
- 如果有一天我決定離開這個項目，我希望社區能夠在沒有財務問題的情況下保持它的活力。</t>
  </si>
  <si>
    <t>https://spliit.app/blog/spliit-by-the-stats-usage-costs-donations</t>
  </si>
  <si>
    <t>hugging face via HN</t>
  </si>
  <si>
    <t xml:space="preserve">A CC-By Open-Source TTS Model with Voice Cloning </t>
  </si>
  <si>
    <t>OuteTTS-0.1-350M ，這是一款 CC BY 4.0 的文字轉語音（TTS）合成模型，著重於以簡單方式達成高品質語音合成。該模型建基於 LLaMa 架構，採用我們的 Oute3-350M-DEV 基礎模型，證明透過純語言模型方法即可實現有效的語音合成。
語言驅動式 TTS： 採用純語言模型技術，無需外部轉接器或複雜架構。
聲音複製： 能夠複製參考音訊的語音特徵。
架構相容性： 建立於 LLaMa 框架，支援 llama.cpp 和 GGUF 等格式。</t>
  </si>
  <si>
    <t>https://huggingface.co/OuteAI/OuteTTS-0.1-350M</t>
  </si>
  <si>
    <t>github via HN</t>
  </si>
  <si>
    <t xml:space="preserve">OpenCoder: Open Cookbook for Top-Tier Code Large Language Models </t>
  </si>
  <si>
    <t>OpenCoder 是採用 MIT 授權的程式碼大型語言模型（large language model），包含支援英文和中文的 1.5B 與 8B 基礎和對話模型。從零開始訓練，OpenCoder 使用 2.5 兆個 token，其中 90% 為原始程式碼，10% 為程式碼相關網路資料，以達到與頂尖模型相當的卓越表現。透過提供模型權重、推論程式碼、可複製的訓練資料集和完整的 data pipeline，OpenCoder 讓研究人員得以創新並建立新的基礎，為程式碼人工智慧設立新標準。
RefineCode：這是一個精心策劃且可複製的程式碼預訓練語料庫，涵蓋來自 607 種程式語言的 960 億個代幣，確保訓練集的多樣性和全面性。
豐富資源：OpenCoder 提供大量資源，包括最終模型權重、完整的資料處理管線、高效的評估管線、可複製的預訓練資料集、大規模的指導式微調資料集和中間檢查點。</t>
  </si>
  <si>
    <t>https://opencoder-llm.github.io/</t>
  </si>
  <si>
    <t>sentry via HN</t>
  </si>
  <si>
    <t xml:space="preserve">We Just Gave $750,000 to Open Source Maintainers
</t>
  </si>
  <si>
    <t>Sentry 今年驕傲地撥款 75 萬美元支持開源維護者，較去年增加 50%。
今年，我們也啟動了開源承諾（Open Source Pledge）計畫，這是多家公司攜手解決開源永續危機的合作倡議。雖然 Sentry 為此貢獻心力，但我們明白集體努力至關重要。透過此承諾，企業承諾每位開發者每年至少支付維護者 2,000 美元，並公開分享貢獻以增加透明度和責信。
我們 2024 年的分配計畫將資金分配給關鍵專案，如 Django 和 OSI（各 3 萬美元）、Outreachy（2.5 萬美元）及其他知名專案。這些分配總計 21.85 萬美元，佔總預算的 29%。剩餘的 53.15 萬美元，我們透過 thanks.dev 等平台自動分配，確保能支持更多專案和個別維護者。</t>
  </si>
  <si>
    <t>https://blog.sentry.io/we-just-gave-750-000-dollars-to-open-source-maintainers/</t>
  </si>
  <si>
    <t xml:space="preserve">Pokemon TCG Pocket Hub
</t>
  </si>
  <si>
    <t>寶可夢卡牌交換遊戲口袋版中心：使用 MIT 授權的開源遊戲資源中心和模擬器
互動式卡牌模擬器： 直接在瀏覽器中體驗真實的抽卡機制
每日免費卡包： 每日免費獲得兩個補充包，讓遊戲資源民主化。
完整卡牌資料庫： 取得所有卡牌的詳細資訊和高畫質圖片，支持資訊透明與分享。
meta 牌組分析： 探索從 SS 到 C 級的詳細排名和牌組建構指南，賦予玩家知識力量。
策略指南： 從新手到老手都能獲得專業祕訣和教學，培育學習型社群。</t>
  </si>
  <si>
    <t>https://github.com/wsgtcyx/pokemon-tcg-pocket</t>
  </si>
  <si>
    <r>
      <rPr>
        <color rgb="FF1155CC"/>
        <sz val="10.0"/>
        <u/>
      </rPr>
      <t>venturebeat.com</t>
    </r>
    <r>
      <rPr>
        <sz val="10.0"/>
      </rPr>
      <t xml:space="preserve"> via HN</t>
    </r>
  </si>
  <si>
    <t>aiOla unveils open source AI audio transcription model that obscures sensitive info in realtime</t>
  </si>
  <si>
    <t>Whisper-NER，這是一款專門提升音訊轉錄隱私的開源 AI 模型。該模型建立在 OpenAI 的 Whisper 框架上，整合自動語音辨識與命名實體辨識（NER），能在轉錄過程中即時遮蔽名字、電話號碼等敏感資訊。這個模型透過在轉錄 pipe line 中直接處理音訊檔案並套用 NER，降低了傳統系統常見的資料外洩風險。
Whisper-NER 在 Hugging Face 和 GitHub 上以 MIT 授權釋出，讓企業和個人能廣泛存取、修改和部署，甚至用於商業目的。
該模型使用結合合成語音和文字型 NER 資料的合成資料集進行訓練，能同時進行高準確度的轉錄和實體辨識。它支援 zero shot 學習，可辨識和遮蔽訓練中未明確包含的實體類型，適合用於合規監控和品質保證等多元應用。
Whisper-NER 的開源特性不僅促進了倫理 AI 發展，還透過確保隱私導向的轉錄來強化資料安全。這與目前醫療和法律服務等領域對安全 AI 解決方案的需求高度一致。</t>
  </si>
  <si>
    <t>https://venturebeat.com/ai/aiola-unveils-open-source-ai-audio-transcription-model-that-obscures-sensitive-info-in-realtime/</t>
  </si>
  <si>
    <t>Microsoft Open Sourced MarkItDown: An AI Tool to Convert All Files into Markdown for Seamless Integration and Analysis</t>
  </si>
  <si>
    <t>Microsoft 推出了一款全新的 MIT 授權開源 Python 工具，名為 MarkItDown，專門用於將各種文件格式轉換成 Markdown。這個實用工具旨在支援多種檔案類型，以簡化索引和文字分析等流程。支援的檔案格式包括：
PDF 檔
PowerPoint 簡報
Word 文件
Excel 試算表
圖片（具備 EXIF 詮釋資料和光學字元辨識功能）
音訊檔（具備 EXIF 詮釋資料和語音轉錄功能）
HTML 網頁
文字型格式，如 CSV、JSON 和 XML
ZIP 壓縮檔（可逐一處理其內容）</t>
  </si>
  <si>
    <t>https://github.com/microsoft/markitdown</t>
  </si>
  <si>
    <t>YH: 麻瓜許願，分享此文時如果可以簡單說常見的網頁格式是什麼 vs. Markdown 是什麼</t>
  </si>
  <si>
    <r>
      <rPr>
        <color rgb="FF1155CC"/>
        <sz val="10.0"/>
        <u/>
      </rPr>
      <t>phoronix.com</t>
    </r>
    <r>
      <rPr>
        <sz val="10.0"/>
      </rPr>
      <t xml:space="preserve"> via HN</t>
    </r>
  </si>
  <si>
    <t>Concerns Raised Over Bitwarden Moving Further Away From Open-Source</t>
  </si>
  <si>
    <t>開源社群對 Bitwarden 最近的行動表示憂心，似乎暗示該公司可能正在遠離其開源根源。Bitwarden 是一個廣泛使用的密碼管理服務，以加密保險箱和跨平台支援而聞名，採用免費增值模式營運。雖然該公司過去一直以開源方式分享部分程式碼，但近期的發展卻引發了人們對其持續承諾開源模式的疑慮。
社群關注的焦點是 Bitwarden 用戶端最近的一個提取請求，該請求在建置桌面用戶端時引入了對「bitwarden/sdk-internal」的依賴。隨附的授權聲明設置了限制：「您不得使用此 SDK 開發用於 Bitwarden 以外軟體的應用程式（包括不相容的 Bitwarden 實作），或開發另一個 SDK 。」
這項規定在 GitHub 社群中引發討論，使用者認為這種條款損害了該用戶端作為自由軟體的地位。爭論的核心在於 SDK 的法律限制，限制其僅能用於 Bitwarden 相關應用程式。
對於這些疑慮，Bitwarden 創辦人暨技術長 Kyle Spearrin 澄清 SDK 和用戶端是不同的程式，各自位於獨立的程式碼庫中。他強調它們透過標準協定互動，並不構成 GPLv3 下的單一程式。Spearrin 向使用者保證，目前的建置問題已被識別為臭蟲，將會解決。</t>
  </si>
  <si>
    <t>https://www.phoronix.com/news/Bitwarden-Open-Source-Concerns#google_vignette</t>
  </si>
  <si>
    <t>非慣用語</t>
  </si>
  <si>
    <t>台灣用語</t>
  </si>
  <si>
    <t>檢驗</t>
  </si>
  <si>
    <t>許可證</t>
  </si>
  <si>
    <t>編號</t>
  </si>
  <si>
    <t>名詞</t>
  </si>
  <si>
    <t>相關觀念</t>
  </si>
  <si>
    <t>提出單位</t>
  </si>
  <si>
    <t>參考資料</t>
  </si>
  <si>
    <t>收錄日期</t>
  </si>
  <si>
    <t>開放資料五星標準</t>
  </si>
  <si>
    <t>網路發明人+W3C機構定義的標準</t>
  </si>
  <si>
    <t>W3C</t>
  </si>
  <si>
    <t>https://5stardata.info/zh-TW/</t>
  </si>
  <si>
    <t>政府開放資料</t>
  </si>
  <si>
    <t>開放（Open）–依據國際「開放定義」（Open Definition），具開放性的作品在散布上，應滿足「開放授權 」、「方便近用」、「開放格式 」三項條件，允許任何人都可以自由存取、使用、修改，以及分享，且最多僅受限於引註出處。臺灣政府機關討論開放資料的觀念，類似於開放資料五星標準中的三星以上的資料才符合。</t>
  </si>
  <si>
    <t>網頁的更版</t>
  </si>
  <si>
    <t xml:space="preserve">數位發展部/多元創新司 </t>
  </si>
  <si>
    <t>開放數據</t>
  </si>
  <si>
    <t>數位產業屬為了區分「開放資料」，並免直接想到的是「政府開放資料」，所以用「開放數據」同時指稱政府開放資料與民間的資料開放。</t>
  </si>
  <si>
    <t>開放資料</t>
  </si>
  <si>
    <t>數位產業署/資策會</t>
  </si>
  <si>
    <r>
      <rPr/>
      <t xml:space="preserve">資策會 AIGO 數據案委託案中定義
</t>
    </r>
    <r>
      <rPr>
        <color rgb="FF1155CC"/>
        <u/>
      </rPr>
      <t>https://www.datastation.org.tw/association</t>
    </r>
  </si>
  <si>
    <t>資料疊合</t>
  </si>
  <si>
    <t>綜合分析兩種以上的數據集</t>
  </si>
  <si>
    <t>資料疊合
資料分析</t>
  </si>
  <si>
    <r>
      <rPr/>
      <t xml:space="preserve">資策會 AIGO 數據案委託案中定義
</t>
    </r>
    <r>
      <rPr>
        <color rgb="FF1155CC"/>
        <u/>
      </rPr>
      <t>https://www.datastation.org.tw/association</t>
    </r>
  </si>
  <si>
    <t>數據疊合</t>
  </si>
  <si>
    <t>綜合分析兩種以上的數據集，原本舊案時叫資料疊合，但後續因為整合「都叫數據」而改成數據疊合</t>
  </si>
  <si>
    <r>
      <rPr/>
      <t xml:space="preserve">資策會 AIGO 數據案委託案中定義
</t>
    </r>
    <r>
      <rPr>
        <color rgb="FF1155CC"/>
        <u/>
      </rPr>
      <t>https://www.datastation.org.tw/association</t>
    </r>
  </si>
  <si>
    <t>高價值資料</t>
  </si>
  <si>
    <t>2022-06-27 行政院政府資料開放諮詢小組達成共識</t>
  </si>
  <si>
    <t>數位發展部</t>
  </si>
  <si>
    <r>
      <rPr>
        <color rgb="FF000000"/>
      </rPr>
      <t xml:space="preserve">Ian </t>
    </r>
    <r>
      <rPr>
        <color rgb="FF1155CC"/>
        <u/>
      </rPr>
      <t>週一分享
https://docs.google.com/presentation/d/1kRQwVOnixDDUZK7D6xx1E96cv_w742LjzLQ1io9If1Q/edit#slide=id.p</t>
    </r>
  </si>
  <si>
    <t>品質檢測系統</t>
  </si>
  <si>
    <t>因應 2023 年 1 月修訂「政府資料品質提升機制簡介」，提供了子我檢驗的系統</t>
  </si>
  <si>
    <r>
      <rPr/>
      <t xml:space="preserve">Ian </t>
    </r>
    <r>
      <rPr>
        <color rgb="FF1155CC"/>
        <u/>
      </rPr>
      <t xml:space="preserve">週一分享
https://docs.google.com/presentation/d/1kRQwVOnixDDUZK7D6xx1E96cv_w742LjzLQ1io9If1Q/edit#slide=id.p
</t>
    </r>
    <r>
      <rPr/>
      <t>提升機制
https://data.gov.tw/faqs/634</t>
    </r>
  </si>
  <si>
    <t>資料民主化</t>
  </si>
  <si>
    <t>當民眾可以掌握已經開放的資料及各種不同開放數據，即是所</t>
  </si>
  <si>
    <t>開放資料
Mydata</t>
  </si>
  <si>
    <t>數位發展部/電腦公會</t>
  </si>
  <si>
    <t>數位民主司的標案中的定義，尚在討論中</t>
  </si>
  <si>
    <t>OGL</t>
  </si>
  <si>
    <t>臺灣：
英國：
CKAN(歐盟多採納)：</t>
  </si>
  <si>
    <t>英國 The National Archives</t>
  </si>
  <si>
    <t>Open Government License
https://www.nationalarchives.gov.uk/doc/open-government-licence/version/3/</t>
  </si>
  <si>
    <t>ODC-By</t>
  </si>
  <si>
    <t xml:space="preserve">Open Data Commons Attribution License </t>
  </si>
  <si>
    <t>CKAN</t>
  </si>
  <si>
    <t>OGDL</t>
  </si>
  <si>
    <t>停止解析（DNSRPZ）</t>
  </si>
  <si>
    <t>受害者報案 + 執法機關要求 → 數位部台灣網路資訊中心（TWNIC）可以配合執行停止解析→假網頁無法連線</t>
  </si>
  <si>
    <t>零信任架構</t>
  </si>
  <si>
    <t>「永不信任，持續驗證」
除了傳統的密碼外，要求系統多方認證。</t>
  </si>
  <si>
    <t>縱深防禦 defense in depth (DiD)</t>
  </si>
  <si>
    <t>使用不同類型的安全機制，做到互相備用。縱深防禦使用多種類型的存取控制。</t>
  </si>
  <si>
    <t>https://discourse.ubuntu.com/t/securing-ros-robotic-platforms/41871</t>
  </si>
  <si>
    <t>https://leaveisdrop1.medium.com/%E4%BD%95%E8%AC%82%E7%B8%B1%E6%B7%B1%E9%98%B2%E7%A6%A6-what-is-the-defense-in-depth-9952cc188626</t>
  </si>
  <si>
    <t>記憶體安全漏洞</t>
  </si>
  <si>
    <t>因為記憶體存取、寫入、分配或是非預期釋放所產生的漏洞。
記憶體安全漏洞分為空間與時間兩類，空間記憶體問題是指，程式存取不屬於其記憶體區域所產生的安全漏洞，而時間記憶體漏洞則是在不對的時間和狀態存取記憶體，像是物件被釋放後才存取物件資料等情況。</t>
  </si>
  <si>
    <t>Morris Worm、Slammer Worm DoS攻擊、Heartbleed、BLASTPASS</t>
  </si>
  <si>
    <t>記憶體安全程式語言</t>
  </si>
  <si>
    <t>具有記憶體安全功能的程式語言，可以減少甚至是消除不正確的記憶體使用方式，像是存取未分配的記憶體、緩衝區溢出等，所導致的錯誤和漏洞。</t>
  </si>
  <si>
    <t>Rust記憶體安全程式語言</t>
  </si>
  <si>
    <t>fediverse</t>
  </si>
  <si>
    <t>Opne source social network</t>
  </si>
  <si>
    <t>匿名化
Anonymisation</t>
  </si>
  <si>
    <t>直接和間接刪除個人識別訊息
資訊與其他資訊來源連結在一起時，可以間接識別個人
一旦資料真正匿名化，個人不再可識別，資料就不再屬於GDPR的範圍，變得更容易使用
可能會使數據貶值，使其不再對某些目的有用</t>
  </si>
  <si>
    <t>University College London</t>
  </si>
  <si>
    <t xml:space="preserve">https://www.ucl.ac.uk/data-protection/guidance-staff-students-and-researchers/practical-data-protection-guidance-notices/anonymisation-and </t>
  </si>
  <si>
    <t>假名化
Pseudonymisation</t>
  </si>
  <si>
    <t>GDPR 中將假名化定義為「以這樣的方式處理個人數據，在不使用附加資訊的情況下，數據不再能夠歸屬於特定數據主體，只要此類附加資訊單獨保存並受技術約束。並確保不歸因於已識別或可識別個人的組織措施」
仍屬 GDPR 的管轄範圍
經過假名處理的個人數據，可以通過使用附加信息歸屬於自然人，應被視為可識別自然人的信息。”</t>
  </si>
  <si>
    <t>個人識別資訊 PII</t>
  </si>
  <si>
    <t>Personally Identifiable Information (PII) 個人識別資訊顧名思義就是可以用來辨別個人身份的資料。PII 可分為 linked data 與 linkable data 兩種。Linked data 是可以直接識別個人身份的資料，例如姓名、身份證號碼、信用卡號碼、手提電話、電郵等。Linkable data 是與其他資料配對後才可以辨別個人身份的資料，例如姓氏、性別、生日日期、年齡、任職公司與職位等。</t>
  </si>
  <si>
    <t>https://www.fimmick.com/2022/03/04/crm-personally-identifiable-information-non-pii-and-personal-data/</t>
  </si>
  <si>
    <t>作者</t>
  </si>
  <si>
    <t>更新日期</t>
  </si>
  <si>
    <t>資料生命週期</t>
  </si>
  <si>
    <t>資料生命週期是甚麼：綜合指南</t>
  </si>
  <si>
    <t>開放定義 2.1 - Open Definition - Defining Open in Open Data, Open Content and Open Knowledge</t>
  </si>
  <si>
    <t>https://opendefinition.org/od/2.1/zh-tw/</t>
  </si>
  <si>
    <t>Open data handbook</t>
  </si>
  <si>
    <t>https://opendatahandbook.org/guide/zh_TW/introduction/</t>
  </si>
  <si>
    <t>政府開放資料品質之研究：以 Data.Taipei 平台為例</t>
  </si>
  <si>
    <t>https://www-ws.gov.taipei/Download.ashx?u=LzAwMS9VcGxvYWQvMzcxL3JlbGZpbGUvMTcwMjIvMTA5MzEzLzk4MjM4YTY4LWUxMzAtNGM2Mi04MDhiLWE3ODZhM2FhZmY0YS5wZGY%3D&amp;n=5p2O5L%2BK6YGU44CB6IOh5a2f6LuS44CB6JiH5byY5bqt44CB5ZGo6Iq35LyDLeaUv%2BW6nOmWi%2BaUvuizh%2BaWmeWTgeizquS5i%2BeglOeptu%2B8muS7pURhdGEuVGFpcGVp5bmz5Y%2Bw54K65L6LLnBkZg%3D%3D&amp;icon=..pdf</t>
  </si>
  <si>
    <t>2020-05-09 隱私保護與資料經濟 (4:3) - Google 簡報</t>
  </si>
  <si>
    <t>柏鋒</t>
  </si>
  <si>
    <t>合理的遵循個人資料保護，可以為資料治理跟資料經濟做準備</t>
  </si>
  <si>
    <t>https://docs.google.com/presentation/d/1PhuTUgT-g9OcphlOQDbS6vGRWcX-wsYMHbLEFqYs1RA/edit?pli=1#slide=id.p</t>
  </si>
  <si>
    <t>德國終於在 2017 年有了開放資料法，那我們呢？</t>
  </si>
  <si>
    <t>http://lucien.cc/?p=6057</t>
  </si>
  <si>
    <t>Understanding open-source and free software licensing</t>
  </si>
  <si>
    <t>https://medium.com/@moqod_development/understanding-open-source-and-free-software-licensing-c0fa600106c9</t>
  </si>
  <si>
    <t>Licensing a repository - GitHub Help</t>
  </si>
  <si>
    <t>https://help.github.com/en/github/creating-cloning-and-archiving-repositories/licensing-a-repository</t>
  </si>
  <si>
    <t>OD Mekong Datahub</t>
  </si>
  <si>
    <t>https://data.opendevelopmentmekong.net/en/map-explorer</t>
  </si>
  <si>
    <t>美國總統簽署《實證決策基本法》推動政府資料開放與建構以實證為依據制定政策之基礎</t>
  </si>
  <si>
    <t>https://stli.iii.org.tw/article-detail.aspx?no=0&amp;tp=1&amp;i=0&amp;d=8189</t>
  </si>
  <si>
    <t>資策會科技法律研究所 科技法制要聞：歐盟將修正公部門資訊再利用（PSI）指令</t>
  </si>
  <si>
    <t>https://stli.iii.org.tw/article-detail.aspx?no=64&amp;tp=1&amp;d=8241</t>
  </si>
  <si>
    <t>加州消費者隱私保護法（California Consumer Privacy Act 2018）</t>
  </si>
  <si>
    <t>https://www.ndc.gov.tw/Content_List.aspx?n=48BEF57F071432E0</t>
  </si>
  <si>
    <t>美國政府開放資料推動現況與執行經驗</t>
  </si>
  <si>
    <t>https://bost.nstc.gov.tw/Upload/UserFiles/%E5%88%86%E4%BA%AB%E6%A1%88%EF%BC%9A2_0%E7%BE%8E%E5%9C%8B%E6%94%BF%E5%BA%9C%E9%96%8B%E6%94%BE%E8%B3%87%E6%96%99%E6%8E%A8%E5%8B%95%E7%8F%BE%E6%B3%81%E8%88%87%E5%9F%B7%E8%A1%8C%E7%B6%93%E9%A9%97_%E4%B8%AD%E6%96%87.pdf</t>
  </si>
  <si>
    <t>英國 Open Data 推動經驗</t>
  </si>
  <si>
    <t>政府開放資料地方中央都會有相互的好處</t>
  </si>
  <si>
    <t>https://bost.nstc.gov.tw/Upload/UserFiles/%E5%88%86%E4%BA%AB%E6%A1%88%EF%BC%9A3_0%E8%8B%B1%E5%9C%8BOpen%20Data%E6%8E%A8%E5%8B%95%E7%B6%93%E9%A9%97_%E4%B8%AD%E6%96%87.pdf</t>
  </si>
  <si>
    <t>資料深化應用與市集機制之研析</t>
  </si>
  <si>
    <t>曾憲立
蕭乃沂、廖興中</t>
  </si>
  <si>
    <t>資料經濟（data economy）、資料市集（data marketplace）、資料信託等概念也應運而生，期待透過公私協力等機制，開發出因應新時代的資料服務型態，讓原本零散在不同資料收集者或保管者，乃至於資料開發者，賦予新的意義並服膺公共治理價值，或可從中得到經濟利益，或可提升人民生活品質。綜整國際4個國家（如日本、歐盟、澳洲等主要國家）資料交易市集運作個案，研提我國推動各領域資料市集交易之短中長期策略。</t>
  </si>
  <si>
    <t>https://www.teg.org.tw/research/study_detail.php?gid=2307&amp;ggid=9226</t>
  </si>
  <si>
    <t>2023.08.26</t>
  </si>
  <si>
    <t>個人資料授權應用與知情同意管理機制之研析</t>
  </si>
  <si>
    <t>陳恭
戴豪君、曾憲立</t>
  </si>
  <si>
    <t>MyData平臺對個人資料保護、知情同意機制、線上授權流程簡化等管理模式的改善建議與改進方向。
MyData線上授權的時間區間、單次授權方式、知情同意查閱與存取等機制改進模式與方法。
提出精進MyData服務平臺設計原則，及可供政府及第三方服務業者參考之規範準則，以提高公部門、使用者及第三方服務的操作便利性與使用意願。
政府應該如何輔導廠商符合GDPR或CBPR體系可以採取的措施，例如提供手冊、諮詢服務，技術指導之政策建議。</t>
  </si>
  <si>
    <t>https://www.teg.org.tw/research/study_detail.php?gid=2307&amp;ggid=9225</t>
  </si>
  <si>
    <t>計畫執行期間： 2021-05-06 ~ 2022-03-31
理論要公開了</t>
  </si>
  <si>
    <t>循證式數位治理以及溝通策略研析</t>
  </si>
  <si>
    <t>廖洲棚
曾憲立、李天申</t>
  </si>
  <si>
    <t>第一，探究在政府公共政策網路參與平台之公共議題在網路發展與擴散的動向？
第二，政府應如何妥善運用網路輿情探勘工具以精確掌握民意的脈動？
第三，政府如何推動資料治理以進一步確保政府開放資料品質與促進民間的加值應用？本研究將研析資料連結應用策略（Big and Open Linked Data, BOLD），提高政府開放資料的被民眾利用以解決實際公共問題的程度。</t>
  </si>
  <si>
    <t>https://www.teg.org.tw/research/study_detail.php?gid=2307&amp;ggid=9228</t>
  </si>
  <si>
    <t xml:space="preserve"> 開放政府服務策略研析調查─政府資料開放應用模式評估與民眾參與公共政策意願調查</t>
  </si>
  <si>
    <t>廖洲棚
廖興中、黃心怡</t>
  </si>
  <si>
    <t>目前本計畫已完成目前國際與各國政府推動開放資料之標竿國家的主要策略與評估模式之整理；在開放資料的應用模式與個案的整理上也有基本理解；而對當前電子化政府與新興公民參與之間的理論與實務發展整理也有相當程度的探索。此部分內容主要呈現在第二章的文獻檢閱。</t>
  </si>
  <si>
    <t xml:space="preserve"> 2017-04-01 ~ 2018-03-31</t>
  </si>
  <si>
    <t>政府公共溝通─新型態網路參與及溝通策略</t>
  </si>
  <si>
    <t>陳敦源
廖洲棚、黃心怡</t>
  </si>
  <si>
    <t>本計畫認為未來研究可以分為技術與管理兩個部分持續深入探討。技術面來看，應在於立場與論述分析上進行人機介面的優化，以及成本效益的精進兩個部分，以工作分析（work analysis），進行不同人機介面的實驗，找出最有效率的做法。另外，在管理的層面，在實務與理論訓練上應提升政府公關與行銷的專業，將網際網路的概念與技術融入日常工作當中，並以「職能理論」（competence theory）的角度，進行設計與導入的分析。</t>
  </si>
  <si>
    <t>計畫執行期間： 2016-04-01 ~ 2017-03-31</t>
  </si>
  <si>
    <t>政府巨量資料分析與政策端應用效能提升之研析</t>
  </si>
  <si>
    <t>蕭乃沂
陳敦源、廖洲棚</t>
  </si>
  <si>
    <t xml:space="preserve">巨量資料不論在公私部門的管理領域，掀起一陣旋風，但是，公部門的應用，不論從內部與外部的管理，都還有創新的瓶頸，其中最關鍵的議題，就在於離開表面上炫麗的個案，資料分析與公共治理專業的對話與深度合作，縮小「分析出來沒有價值」以及「有需求但作不出來」的雙重落差。
</t>
  </si>
  <si>
    <t>https://www.teg.org.tw/research/study_detail.php?gid=2307&amp;ggid=9232</t>
  </si>
  <si>
    <t>計畫執行期間： 2014-04-24 ~ 2015-02-28</t>
  </si>
  <si>
    <t>開放資料及其對政府治理與個人隱私影響之研究</t>
  </si>
  <si>
    <t>項靖
陳曉慧、楊東謀、羅晉</t>
  </si>
  <si>
    <t>本研究持續追蹤其它國家與國際組織於開放資料之相關政策，如美國、英國、加拿大、澳洲、紐西蘭、歐盟、日本與其它世界性組織（經濟合作暨發展組織、世界銀行、八大工業國組織）的開放資料發展。並從國外政府之相關個案以檢視開放資料對政府治理的影響。</t>
  </si>
  <si>
    <t>https://www.teg.org.tw/research/study_detail.php?gid=2307&amp;ggid=9233</t>
  </si>
  <si>
    <t>運用巨量資料實踐良善治理：網路民意導入政府決策分析之可行性研究</t>
  </si>
  <si>
    <t>廖洲棚
陳敦源、蕭乃沂、廖興中</t>
  </si>
  <si>
    <t>本研究有以下幾點主要的發現與建議：
(一)網站日誌分析：研究團隊透過WebLog Expert分析工具的使用，儘可能的解析大量網站日誌資料中的資訊，並詳細的紀錄分析工具的操作步驟。
(二)網路輿情分析：作為輿論一環的網路民意已逐漸成為傳統電話民意調查的缺口，政策議題主管機關不論在事前的掌握民意方向或危機預警、事中的因應、與事後的議題管理與行銷，相對即時與巨量的網路輿情都應該逐步地納入政府決策參考的來源之一。
(三)政府輿情分析現況調查：中央政府主管級新聞聯絡人員在蒐集、分析與回應民意工作上多偏好透過大眾傳播媒體，並且普遍認為這樣的民意蒐集與分析對於首長是有幫助的。</t>
  </si>
  <si>
    <t>https://www.teg.org.tw/research/study_detail.php?gid=2307&amp;ggid=9234</t>
  </si>
  <si>
    <t>計畫執行期間： 2013-03-01 ~ 2013-12-31</t>
  </si>
  <si>
    <t>政府開放資料加值營運模式之研究</t>
  </si>
  <si>
    <t>項靖
楊東謀、羅晉</t>
  </si>
  <si>
    <t>政府開放資料為近年國際間備受關注的議題，為開放政府目標下推動的相關政策，旨在鼓勵企業、公民團體與個人，對政府開放的資料進行創新加值運用。</t>
  </si>
  <si>
    <t>https://www.teg.org.tw/research/study_detail.php?gid=2307&amp;ggid=9235</t>
  </si>
  <si>
    <t>智慧政府下 MyData 個案推動與模式建構：數位身份識別與服務流程優化</t>
  </si>
  <si>
    <t>曾憲立
蕭乃沂、宋同正</t>
  </si>
  <si>
    <t>本計畫蒐集分析並綜整國外推動MyData模式與並探討數位身份識別 證（New eID）應用於數位服務的相關議題，接軌國際做法，整理如資料 治理成熟度（data governance maturity）、資料生命週期管理(Information Lifecycle Management；ILM)等相關資料治理之評量策略或作法，以我國 特定政府機關發展導入MyData服務為規劃情境，提出導入科技驅動創新應用的專案管理流程建議。作為後續實際導入的基礎計畫，並藉以統整導 入經驗以回饋未來MyData方案推動模式的參考。</t>
  </si>
  <si>
    <t>https://www.teg.org.tw/research/history_detail.php?gid=9351</t>
  </si>
  <si>
    <t>出版年月： 2020-02</t>
  </si>
  <si>
    <t>前次更新日期</t>
  </si>
  <si>
    <t>開放平臺</t>
  </si>
  <si>
    <t>政府資料開放平台</t>
  </si>
  <si>
    <t>https://data.gov.tw/</t>
  </si>
  <si>
    <t>會議討論</t>
  </si>
  <si>
    <t>行政院第3322次院會決議</t>
  </si>
  <si>
    <t>https://www.ey.gov.tw/Page/4EC2394BE4EE9DD0/1cd200d2-f113-4932-a993-8811bbc3d6fd</t>
  </si>
  <si>
    <t>2023.07.03</t>
  </si>
  <si>
    <t>2020-4-15 簡報-開放資料與資料再利用專法規劃 (2).pdf - Google 雲端硬碟</t>
  </si>
  <si>
    <t>https://drive.google.com/file/d/1jcgRilehiGzbfms6ROWO7BZH5e-eVOrk/view</t>
  </si>
  <si>
    <t>開放政府國家行動方案承諾事項「完備政府資料開放與再利用制度」推動說明（2021/08）</t>
  </si>
  <si>
    <t>https://ws.ndc.gov.tw/Download.ashx?u=LzAwMS9hZG1pbmlzdHJhdG9yLzEwL3JlbGZpbGUvMC8xNDUyMC83ZDcyMzgyNy1hNjhiLTQyZmItOGViNS1iMWFiNDM3MGNjYzkucGRm&amp;n=MDEt5a6M5YKZ5pS%2F5bqc6LOH5paZ6ZaL5pS%2B6IiH5YaN5Yip55So5Yi25bqmLnBkZg%3D%3D&amp;icon=..pdf</t>
  </si>
  <si>
    <t>「研商開放資料專法專家座談會」會議紀錄 | 政府資料開放平臺</t>
  </si>
  <si>
    <t>https://data.gov.tw/dataset/114727</t>
  </si>
  <si>
    <t>2012年我國公開資料加值（open data）推動策略會議</t>
  </si>
  <si>
    <t>https://bost.nstc.gov.tw/Page/894619E10A4795E9</t>
  </si>
  <si>
    <t>「臺灣開放政府國家行動方案」開放資料集平台使用者研討會</t>
  </si>
  <si>
    <t>https://youtu.be/JTUyUoGR0mM</t>
  </si>
  <si>
    <t>20220126 TDX 資料市集座談會</t>
  </si>
  <si>
    <t>https://drive.google.com/drive/folders/1Kv-Sy9lXkQcONNwxnZfihs4yi4YYx33w?usp=sharing</t>
  </si>
  <si>
    <t>業務公告</t>
  </si>
  <si>
    <t>數位發展部 - 政府資料開放業務</t>
  </si>
  <si>
    <t>https://moda.gov.tw/digital-affairs/plural-innovation/operations/244</t>
  </si>
  <si>
    <t>2023.06.06</t>
  </si>
  <si>
    <t>說明了目前數發部的主責範圍</t>
  </si>
  <si>
    <t>來源</t>
  </si>
  <si>
    <t>AISA Open Data Portal 亞洲開放資料入口</t>
  </si>
  <si>
    <t>亞洲開放資料合作夥伴(Asia Open Data Partnership, AODP)共同合作，舉辦「東南亞資料商機大解密」(EXPLORE! Data Market Entry &amp; Expansion in the SEA)國際論壇</t>
  </si>
  <si>
    <t>2023.07.2</t>
  </si>
  <si>
    <t>數位產業署攜手國際組織AODP 為臺灣產業掌握東南亞資料市場商機</t>
  </si>
  <si>
    <t>追蹤網站</t>
  </si>
  <si>
    <t>最新網址</t>
  </si>
  <si>
    <t>OCF 備存</t>
  </si>
  <si>
    <t>版本</t>
  </si>
  <si>
    <t>臺灣法規</t>
  </si>
  <si>
    <t>法律</t>
  </si>
  <si>
    <t>政府資訊公開法</t>
  </si>
  <si>
    <t>規範各政府機關因應開放資料的法源基礎。</t>
  </si>
  <si>
    <t>法規網</t>
  </si>
  <si>
    <t>https://law.moj.gov.tw/LawClass/LawAll.aspx?PCode=I0020026</t>
  </si>
  <si>
    <t xml:space="preserve">公布日期：民國 94 年 12 月 28 日 </t>
  </si>
  <si>
    <t>2005.12.28</t>
  </si>
  <si>
    <t>個人資料保護法</t>
  </si>
  <si>
    <t>訂定個人資料保護辦法</t>
  </si>
  <si>
    <t>https://law.moj.gov.tw/LawClass/LawAll.aspx?PCode=I0050021</t>
  </si>
  <si>
    <t xml:space="preserve">民國 112 年 05 月 31 日 </t>
  </si>
  <si>
    <t>2023.05.31</t>
  </si>
  <si>
    <t>規費法</t>
  </si>
  <si>
    <t>各政府機關因著每一年度的歲收，會卡公務人員不能開放的法。</t>
  </si>
  <si>
    <t>https://law.moj.gov.tw/LawClass/LawAll.aspx?pcode=G0340107</t>
  </si>
  <si>
    <t xml:space="preserve">民國 106 年 06 月 14 日 </t>
  </si>
  <si>
    <t>2007.06.14</t>
  </si>
  <si>
    <t>第 7 條 各機關學校為特定對象之權益辦理下列事項，應徵收行政規費。但因公務需要辦理者，不適用之：
五、為公共利益而對其特定行為或活動所為之管制或許可。
 第 8 條
各機關學校交付特定對象或提供其使用下列項目，應徵收使用規費：一、公有道路、設施、設備及場所。
二、標誌、資料（訊）、謄本、影本、抄件、公報、書刊、書狀、書表、簡章及圖說。三、資料（訊）之抄錄、郵寄、傳輸或檔案之閱覽。</t>
  </si>
  <si>
    <t>行政規則</t>
  </si>
  <si>
    <t>行政院及所屬各級機關政府資料開放作業原則</t>
  </si>
  <si>
    <t>為推動行政院及所屬各級機關政府資料開放，結合民間資源及創意，達成施政便民及公開透明之目的，特訂定本原則。
行政院公告各機關的作業原則</t>
  </si>
  <si>
    <t>數發部專區</t>
  </si>
  <si>
    <t>https://www-api.moda.gov.tw/File/Get/moda/zh-tw/btaC35znK3gNgp3</t>
  </si>
  <si>
    <t>中華民國 112 年 1 月 19 日院授數多元字第 1123000083 號函修訂</t>
  </si>
  <si>
    <t>2023.01.19</t>
  </si>
  <si>
    <t>2023.09.01</t>
  </si>
  <si>
    <t>數發部接後的修訂
各機關不得自建資料開放平臺。但有特殊情形需自建，並提報建置計畫，經數位發展部同意者，不在此限。
各機關依前項但書規定自建平臺者，應建立意見回饋機制、資料正確性回報及問題諮詢管道，並應綜整使用者意見，持續精進服務內容，必要時得請資料集提供機關對於使用者意見進行改善或說明。</t>
  </si>
  <si>
    <t>政府資料開放諮詢小組設置要點</t>
  </si>
  <si>
    <t>規範應該要怎養設置小組</t>
  </si>
  <si>
    <t>https://www-api.moda.gov.tw/File/Get/moda/zh-tw/DWrpKr7saSdwPR5</t>
  </si>
  <si>
    <t>中華民國 112 年 1 月 18 日院授數多元字第 1123000041 號函部分修訂</t>
  </si>
  <si>
    <t>2023.01.18</t>
  </si>
  <si>
    <t>政府資料品質提升機制運作指引</t>
  </si>
  <si>
    <t>為了提升開放資料品質國發會提出的標準</t>
  </si>
  <si>
    <t>https://www-api.moda.gov.tw/File/Get/moda/zh-tw/8fAFpJruOrV9dyn</t>
  </si>
  <si>
    <t>中華民國 112 年 1 月</t>
  </si>
  <si>
    <t>資料集詮釋資料標準規範</t>
  </si>
  <si>
    <t>111 年底數發部公告的最新基準</t>
  </si>
  <si>
    <t>https://www-api.moda.gov.tw/File/Get/moda/zh-tw/fQNPOEqFpMpWwT3</t>
  </si>
  <si>
    <t>數位發展部 中華民國 111 年 12 月</t>
  </si>
  <si>
    <t>OGDL 1.0 政府資料開放授權條款－第1版</t>
  </si>
  <si>
    <t>國發會基於 CC BY 制訂的規範開放授權，可以向後轉版為 CC BY 4.0 ，目前轉由數發部業管</t>
  </si>
  <si>
    <t>開放資料專區</t>
  </si>
  <si>
    <t>https://data.gov.tw/licenses</t>
  </si>
  <si>
    <t>https://data.gov.tw/license</t>
  </si>
  <si>
    <t xml:space="preserve">
中華民國104年7月27日訂定</t>
  </si>
  <si>
    <t>2005.07.27</t>
  </si>
  <si>
    <t>行政院及所屬各機關政府資料分類及授權利用收費原則</t>
  </si>
  <si>
    <t>國發會發佈的，但已經終止適用。
當初為定義了甲乙丙三類開放資料。</t>
  </si>
  <si>
    <t>https://theme.ndc.gov.tw/lawout/LawContentSource.aspx?id=GL000226#lawmenu</t>
  </si>
  <si>
    <t xml:space="preserve">
為極大化開放政府資料，以政府資訊公開法為基礎，推動政府資料以開放格式、機器可讀且具一定品質方式提供外界使用，結合民間資源及創意，達成施政便民及公開透明之目的，以落實推動政府資料開放新政策，爰將行政院及所屬各機關政府資料分類及授權利用收費原則併入本作業原則， 修正「行政院及所屬各級機關政府資料開放作業原則」</t>
  </si>
  <si>
    <t>已廢</t>
  </si>
  <si>
    <t>行政院所屬二級機關政府資料開放諮詢小組運作指引</t>
  </si>
  <si>
    <t>數發部為了補充「政府資料開放諮詢小組設置要點」不足，說明各二級機關的運作方式，提供更多的共筆、提早公開等等相關的機制</t>
  </si>
  <si>
    <t>https://www-api.moda.gov.tw/File/Get/GuK3jwwfiwFOsnT</t>
  </si>
  <si>
    <t>臺灣政府資料開放平臺認定之「授權條款」</t>
  </si>
  <si>
    <t>開放資料專區中說明臺灣符合開放資料的規範，國發會時期為 CC By 4.0、CC By-SA 4.0、CC0，唐鳳接手數發部增列 OFL-1.1 （以處理全字庫授權條款）</t>
  </si>
  <si>
    <t>（無版本控制）</t>
  </si>
  <si>
    <t>共通性應用程式介面指引</t>
  </si>
  <si>
    <t>提供了最新的 API 應該要怎樣寫的指引</t>
  </si>
  <si>
    <t>https://www-api.moda.gov.tw/File/Get/moda/zh-tw/3PxhlMmajyWV88A</t>
  </si>
  <si>
    <t>中華民國 111 年 12 月</t>
  </si>
  <si>
    <t>政府資料開放跨平臺介接規範</t>
  </si>
  <si>
    <t>規定大家 API 應該要怎接、與政府資料開放平臺之後應該要怎樣更新</t>
  </si>
  <si>
    <t>https://www-api.moda.gov.tw/File/Get/moda/zh-tw/ly01IbXcoGBjveh</t>
  </si>
  <si>
    <t>國土測繪成果資料收費標準</t>
  </si>
  <si>
    <t>做了更多的免收費的相關基準。</t>
  </si>
  <si>
    <t>https://law.moj.gov.tw/LawClass/LawAll.aspx?pcode=D0060114</t>
  </si>
  <si>
    <t>民國 111 年 12 月 05 日</t>
  </si>
  <si>
    <t>2022.12.05</t>
  </si>
  <si>
    <t>國家發展委員會提供政府資訊收費標準</t>
  </si>
  <si>
    <t>國發會發佈的，但已經終止適用，暫時沒有接手的。</t>
  </si>
  <si>
    <t>https://law.moj.gov.tw/LawClass/LawAll.aspx?pcode=A0020134</t>
  </si>
  <si>
    <t>政府資料開放優質標章暨深化應用獎勵措施修正規定</t>
  </si>
  <si>
    <t>訂定什麼獎章與獎勵規範，每年 3-6 月要報請認證，10月公告</t>
  </si>
  <si>
    <t>https://www-api.moda.gov.tw/File/Get/moda/zh-tw/j2PudCIQdzpeo8x</t>
  </si>
  <si>
    <t>（無版本控管）</t>
  </si>
  <si>
    <t>國外標準</t>
  </si>
  <si>
    <t>參考標準</t>
  </si>
  <si>
    <t>Global Open Data Index, GODI</t>
  </si>
  <si>
    <t>國外的 okfn 2017 年提出的評斷資開放程度的指標，主要處理以政府為評選目標的開放情形</t>
  </si>
  <si>
    <t>Index &gt; Methodology</t>
  </si>
  <si>
    <t>http://index.okfn.org/place.html#table</t>
  </si>
  <si>
    <t>http://index.okfn.org/methodology/index.html</t>
  </si>
  <si>
    <t>Global Right to Information Rating, RTI Rating</t>
  </si>
  <si>
    <t>量化指標「資料權利評分」2005 年臺灣僅獲得 55 分。</t>
  </si>
  <si>
    <t>https://www.rti-rating.org/</t>
  </si>
  <si>
    <t>https://www.rti-rating.org/country-detail/?country=Taiwan</t>
  </si>
  <si>
    <t>The Open Data Maturity (ODM) Report</t>
  </si>
  <si>
    <t>歐盟資料成熟度報告，每一年歐盟針對各國的資料成熟度提出的報告</t>
  </si>
  <si>
    <t>Data. Europa</t>
  </si>
  <si>
    <t>https://data.europa.eu</t>
  </si>
  <si>
    <t>https://data.europa.eu/en/news-events/news/open-data-maturity-report-2022-out</t>
  </si>
  <si>
    <t>Open Data and re-use of Public Sector information Directive</t>
  </si>
  <si>
    <t>歐盟資料再使用指引</t>
  </si>
  <si>
    <t>歐盟指引法規</t>
  </si>
  <si>
    <t>https://eur-lex.europa.eu/eli/dir/2019/1024</t>
  </si>
  <si>
    <t>https://eur-lex.europa.eu/legal-content/EN/TXT/?qid=1561563110433&amp;uri=CELEX:32019L1024</t>
  </si>
  <si>
    <t>the Chief Data Officer Council</t>
  </si>
  <si>
    <t>美國多元利害組織，在財政體系下的委員會，包含公家強化和賦能聯邦政府工作人員在數據使用方面的能力、實現簡單、無縫和安全的客戶體驗，產生有影響力的成果
支持數據倫理和公平應用、支持智慧政府運營中的戰略性數據應用。每 2 年開一次會。</t>
  </si>
  <si>
    <t>https://www.cdo.gov/index.html</t>
  </si>
  <si>
    <t>https://www.cdo.gov/public-meeting-2023/</t>
  </si>
  <si>
    <t>完備政府資料開放與再利用制度</t>
  </si>
  <si>
    <t>開放政府國家行動方案承諾事項「完備政府資料開放與再利用制度」推動說明（2021/08） ，轉移到數位發展部後已棄坑</t>
  </si>
  <si>
    <t>香港開放數據指數計劃</t>
  </si>
  <si>
    <t>香港基於 GODI 指標每年出的報告，分析香港的開放資料情形</t>
  </si>
  <si>
    <t>https://opendata.isoc.hk/</t>
  </si>
  <si>
    <t>參考指引</t>
  </si>
  <si>
    <t>Rethinking data and rebalancing digital power</t>
  </si>
  <si>
    <t>這份報告的主要內容是關於如何重新思考數據使用和數據權力的平衡。以下是報告的主要重點：
報告由一個來自學術界、政策制定者、法律、科技和公民社會的國際跨學科工作小組進行，他們的目標是想像出能夠轉移數據權力並讓它惠及人民和社會的規則和機構。
他們提議的數字生態系統是平衡的、可負責的和可持續的，並想像出可以使數據為人民和社會服務的新型基礎設施、新機構和新治理模式。</t>
  </si>
  <si>
    <t>https://www.adalovelaceinstitute.org/our-work/projects/</t>
  </si>
  <si>
    <t>https://www.adalovelaceinstitute.org/project/rethinking-data/</t>
  </si>
  <si>
    <t>2023.06.01</t>
  </si>
  <si>
    <t>新竹市政府及所屬機關資料開放作業原則</t>
  </si>
  <si>
    <t>推動新竹市政府及所屬機關政府資料開放，
並建立政府資料開放原則及管理機制，以促進資料流通及利用所訂之作業原則</t>
  </si>
  <si>
    <t>https://dep-administration.hccg.gov.tw/uploaddowndoc?file=downloadfile/201709080938570.pdf&amp;filedisplay=%E6%96%B0%E7%AB%B9%E5%B8%82%E6%94%BF%E5%BA%9C%E5%8F%8A%E6%89%80%E5%B1%AC%E6%A9%9F%E9%97%9C%E8%B3%87%E6%96%99%E9%96%8B%E6%94%BE%E4%BD%9C%E6%A5%AD%E5%8E%9F%E5%89%87.pdf&amp;flag=doc</t>
  </si>
  <si>
    <t>106 年 8 月 21 日府行訊字
第 1060122936 號函初版</t>
  </si>
  <si>
    <t>單位</t>
  </si>
  <si>
    <t>時間</t>
  </si>
  <si>
    <t>出席者</t>
  </si>
  <si>
    <t>會議公告議程</t>
  </si>
  <si>
    <t>OCF 出席建議</t>
  </si>
  <si>
    <t>機關回覆</t>
  </si>
  <si>
    <t>查證</t>
  </si>
  <si>
    <t>資料備存</t>
  </si>
  <si>
    <t>立法院</t>
  </si>
  <si>
    <t>2023.08.17</t>
  </si>
  <si>
    <t>Ian, Rosa</t>
  </si>
  <si>
    <t>一. 立法院於2021年3月提出《開放國會行動方案》，其中包含多項開放資料承諾事項，現已完成議事資料盤點、訂定議案、委員、法案統一編碼規則。
二. 於GitHub註冊立法院開源平台組織帳號（https://github.com/search?q=legislative+yuan&amp;type=users）， 提供「機關權威檔」、「法名稱權威檔」、「同義詞權威檔」、「會議資訊」、「會議完整影片相關資訊」、「委員發言片段相關影片資訊」、「院會發言名單」與「委員會發言名單」等資料API至GitHub平台。
三. 積極建置「議事暨公報資訊網」，整合議事及公報資料為單一入口服務平台，已於2023年2月上線。
四.立法院配合政府開放資料政策於2015年建置「立法院開放資料服務平台」（https://data.ly.gov.tw/），對外開放39項資料集、42項API，並提供民眾意見回饋功能。</t>
  </si>
  <si>
    <t>Rosa 
一、肯定大院「議事暨公報資訊網」，整合議事及公報資料的單一入口服務平台，可見各議案、預算案的各審查過程。
二、有關本次提供會議資訊「開放資料現有成果」中之《開放國會行動方案》有將其納入規劃之中，雖有見大院持續更新進度，敬請進步提供有關資料開放之細部推動情形。
三、所提出之 GitHub 立法院開源平台組織帳號，專案追蹤人數及相關 Fork 僅為個位數，再請大院評估目前推動情形，及相關後續開發及推動規劃。
四、就所開放  39 項資料集、42 項 API  與前次會議  38 項資料集、4 項 API 顯有差異，再請大院說明所新增與調整之規劃。
Ian 
一、就所提更新之「議事暨公報資訊網」肯定其規劃，惟就部分預算表等仍採 PDF 等公告，建議可考量資料可讀方式及於網頁系統中更加視覺化呈現，以利常民近用該資訊。
二、就所提出之 GitHub 立法院開源平台組織帳號，確實可以見已公開兩個原始碼庫（ repositories），惟針對「機關權威檔」、「法名稱權威檔」、「同義詞權威檔」該支 API 最後更新為 2021 年 12 月；「會議資訊」「會議完整影片相關資訊」、「委員發言片段相關影片資訊」、「院會發言名單」與「委員會發言名單」該支 API 最後更新為 2022 年 12 月，另整體追蹤者僅  4  人，建議再進一步相關後續開發及推動規劃。
三、有關目前數發部正推動「政府資料標準平臺」，就立院之機關「機關權威檔」、「法名稱權威檔」，建議盤點亦可於立院端，有資料標準之相關規劃。
四、說明對外開放 39 項資料集、42 項 API ，在 API 方面，網站上僅見 預算中心研究成果(API)、法制局研究成果(API)、法律提案(API)、委員發言(API) ，建請進一步說明目前 API 開放情形。</t>
  </si>
  <si>
    <t>Rosa
一、無。
二、本院業依開放國會 2.0 相關目標，完成提供 (1) 投票紀錄;(2)法律提案連署人;(3)預算附帶決議;(4)各委員會公聽會報告;(5)法制局與預算中心相關研究;(6)國會圖書館資料等開放資料，後續視各方需求，持續評估其他開放資料可行性。
三、本院依開放國會 2.0 相關規範，業已於 110 年與 111 年上傳特定開放資料之 API 程式原始碼與技術文件，且刻正整備其他程式原始碼與技術文件，預計年底前上傳 GitHub。
四、
1. 本院前於103年建置立法院開放資料服務平台，當時提供原始檔案類、議事類、委員類、會議類、質詢類與其他類等 6 大類，共 35 項開放資料集,後調整為 34 項資料集。為提升系統使用效益與服務量能,本院分別於 34 個資料集內，新增 API 程式，讓民眾可自行輸入參數條件，以獲取所需之資料範圍與格式。另，額外提供預算中心研究成果、法制局研究成果、法律提案、委員發言之 API。
2. 本院於 110 年新增「機關權威檔」、「法名稱權威檔」、「同義詞權威檔」等 3 個資料集及其 API 程式,另於112 年新增「委員會公聽會報告資訊」、「院會表決資料」及「三讀通過條文&amp;附帶決議資訊」等 3 個資料集，後續亦將提供其 API 程式。
3.目前網站計提供 40 項資料集，41 項 API 程式。
Ian
一、
1.本院辦理「預算提案管理系統」預計 113 年上線供內部使用，並俟相關預算與提案資料整備完成後，傳送至「議事暨公報資訊網」，以提升資料完整性。
2.目前民眾可至行政院主計總處網站下載單位預算書之開放資料加值使用。其網站路徑為首頁/主要業務/政府預算/中央政府各單位預算及附屬單位預算。
二、
1.本院依據開放國會 2.0 專案「主題四、數位化的國會」之「4-4 立法院數位系統開源」，實現承諾里程碑「每年至少開源程式碼與技術文件各 1 份」辦理。
2.本院分別於 111 年與 112 年上傳特定開放資料之 API 程式原始碼與技術文件，且刻正整備其他程式原始碼與技術文件，預計年底前上傳 GitHub。
三、
1. 「機關權威檔」、「法名稱權威檔」係立法院國會圖書館於分析公報議案資料時產出之名稱匯集,供內部系統資料處理作業參考,方便查找相似名稱之資料時盡可能無所遺漏,提升系統檢索效能。
2. 前揭權威檔業於 109 年3月15 日起公開資料集，使用者可於立法院開放資料服務平台/資料目錄/其他類項下擷取運用。
3.「政府資料標準平臺」係行政機關就業管領域建立資料標準與作業規範,以促進跨機關資料流通交換及整合。有鑑於前揭權威檔僅供國會圖書館內部系統資料分析使用,其正確性及完整性均未達可建立標準之列,爰建議由行政院統籌規範「機關名稱」及「法規名稱」之資料標準,俾供全國各機關一體適用共同遵循。
四、
1.本院開放資料服務平台網站除提供預算中心研究成果、法制局研究成果、法律提案、委員發言之 API 外，另每一項資料集明細頁內，均有其 API 程式。
2.惟有關「委員會公聽會報告資訊」、「院會表決資料」及「三讀通過條文&amp;附帶決議資訊」係 112 年新上線之資料集，後續亦將提供其 API 程式。</t>
  </si>
  <si>
    <t>Rosa
一、(本來就肯定意見，應該不用再提) 
二、
1. 就 (4)各委員會公聽會報告；(5)法制局與預算中心相關研究；(6)國會圖書館資料等開放資料，目前可見多數僅建檔檔名說明，建議可再多補些相關 meta ，如 (4) 相關研究 有相關文件摘要、委員會公聽會報告 (5) 就會議記錄相關出席單位、委員等相關資訊，以利評估與分析就資料提供亦建議多採可機器閱讀之格式。
2. 有關「後續視各方需求，持續評估其他開放資料可行性」，再請說明後續徵詢意見機制。
三、就整備中「刻正整備其他程式原始碼與技術文件」再請進一步說明相關範疇。
四、（確認數字）已經理解其數字關係，建議後續會議公告亦可說明其變更差異，以利社會溝通。
Ian
一、期待後續「預算提案管理系統」，提醒建議相關數字管理及委員提案等資料得以資料結構化可機讀方式處理，以利後續運用。
二、就開源標的，再請釐清後續規劃。
三、理解目前權威檔僅供內部使用，惟提醒本政策後續。
四、（確認數字）已經理解其數字關係，為便於民眾閱讀相關會議公告之理解，建議後續得如本次回覆之公告方式，以利溝通。</t>
  </si>
  <si>
    <t>https://docs.google.com/document/d/1K3YYPNVNOIB2ky5slemByG9_Jl8yOdruUUDwj7B3ZDw/edit#heading=h.e672zeg0ye25</t>
  </si>
  <si>
    <t>2023.01.05</t>
  </si>
  <si>
    <t>皇甫</t>
  </si>
  <si>
    <t>一、立法院於2021年3月提出《開放國會行動方案》，其中包含多項開放資料承諾事項，現已完成議事資料盤點、訂定議案、委員、法案統一編碼規則。
二、於GitHub註冊立法院開源平台組織帳號（https://github.com/search?q=legislative+yuan&amp;type=users）， 規劃開放「機關權威檔」、「法名稱權威檔」與「同義詞權威檔」等資料API至GitHub平台。
三、積極建置「議事暨公報資訊網」，整合議事及公報資料為單一入口服務平台，計畫 2023 年上線。
四、立法院配合政府開放資料政策於2015年建置「立法院開放資料服務平台」（https://data.ly.gov.tw/），對外開放38項資料集、4項API，並提供民眾意見回饋功能。</t>
  </si>
  <si>
    <t>一、  本次開放資料諮詢會議資訊中「開放資料現有成果」一欄與2021年10月19日及2022年7月21日兩次會議所提成果完全一致，若貴院於2021年10月至2022年12月期間有持續推動開放資料，煩請補充相關推動資料並說明。
二、  貴院《開放國會行動方案》第二大主題「公開化：便於取得利用的國會資訊」中2-2項「開放資料強化監督—公務經費應適當揭露」及2-3項「開放資料強化監督—涉及利益衝突資訊應適當揭露」依進度表所示皆已於2021年1月完成資料揭露格式研議，請說明實施至今近兩年各黨團及委員自主填寫或揭露之進度。
三、貴院《開放國會行動方案》第四大主題「數位化：數位化的國會」中4-1項「立法院網站功能優化—立法院資訊系統整合」第三點里程碑「執行主題網站整合」預計完成時間為2022年12月31日，請協助導覽主題網站資訊整合之架構。</t>
  </si>
  <si>
    <t>https://docs.google.com/document/d/1idYZZqxSQ5xmDM2ImnXfdjvhsIWbbiLUHMlugKSDpns/edit</t>
  </si>
  <si>
    <t>2021.07.21</t>
  </si>
  <si>
    <t>？</t>
  </si>
  <si>
    <t>2021.10.19</t>
  </si>
  <si>
    <t xml:space="preserve">   一、立法院於2021年3月提出《開放國會行動方案》，其中包含多項開放資料承諾事項，現已完
          成議事資料盤點、訂定議案、委員、法案統一編碼規則。
   二、於GitHub註冊立法院開源平台組織帳號（https://github.com/LegislativeYuanROCTaiwan )
          規劃開放「機關權威檔」、「法名稱權威檔」與「同義詞權威檔」等資料API至GitHub平
          台。
   三、積極建置「議事暨公報資訊網」，整合議事及公報資料為單一入口服務平台，計畫 2023 年
          上線。
   四、立法院配合政府開放資料政策於2015年建置「立法院開放資料服務平台」
      	（https://data.ly.gov.tw/ ），對外開放38項資料集、4項API，並提供民眾意見回饋功能。</t>
  </si>
  <si>
    <t>衛福部</t>
  </si>
  <si>
    <t>WeiChen</t>
  </si>
  <si>
    <t>1. 主要這個「兒少統計專區」位於「高價值資料」在社會救助類的第一個（且又有「金獎章」），我會建議應當謹慎評估他適度的拆解及結構化公開，而非直接以 1 個資料夾中僅 1 筆資料的處理方式釋出。
2. 近期兒少/嬰幼兒相關事件頻傳（服毒案）及 Meeto 案，在他這兒少統計專區中很多獨立揭示的資料，理論這兩個案子都可能有會存取到這個專區中的資料。
3.目前這這個專區對於裡面的資料集採用 ods （libreoffice sheet ) 提供，值得肯定，但如能以 csv json 等格式，再揭露會更好，以利機讀與串接應用。
4. 而就資料更新方面，裡面很多衛生福利部管轄，且每年更新的資料仍停留在今年度，亦有不少停留在 2020 、 2021 年的會建議這些數據要持續更新。
5. Best to have 有會更好：如果是外部非衛生福利部的資料，如果與外機關能做到 Link Open Data 交叉共管與更新會更好，不然可以明顯看見很多外部有價值的資料被卻沒有持續更新。</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</si>
</sst>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d"/>
    <numFmt numFmtId="166" formatCode="yyyy/M/d"/>
    <numFmt numFmtId="167" formatCode="yyyy&quot;/&quot;m&quot;/&quot;d"/>
  </numFmts>
  <fonts count="39">
    <font>
      <sz val="10.0"/>
      <color rgb="FF000000"/>
      <name val="Arial"/>
      <scheme val="minor"/>
    </font>
    <font>
      <sz val="10.0"/>
      <color theme="1"/>
      <name val="Arial"/>
      <scheme val="minor"/>
    </font>
    <font>
      <u/>
      <sz val="10.0"/>
      <color rgb="FF0000FF"/>
    </font>
    <font>
      <u/>
      <sz val="10.0"/>
      <color rgb="FF0000FF"/>
    </font>
    <font>
      <u/>
      <sz val="10.0"/>
      <color rgb="FF0000FF"/>
    </font>
    <font>
      <u/>
      <sz val="10.0"/>
      <color rgb="FF0000FF"/>
    </font>
    <font>
      <sz val="10.0"/>
      <color rgb="FF000000"/>
      <name val="&quot;Arial&quot;"/>
    </font>
    <font>
      <sz val="10.0"/>
      <color rgb="FF000000"/>
      <name val="&quot;Roboto Condensed&quot;"/>
    </font>
    <font>
      <u/>
      <sz val="10.0"/>
      <color rgb="FF0000FF"/>
    </font>
    <font>
      <sz val="10.0"/>
      <color rgb="FF1A2433"/>
      <name val="Arial"/>
      <scheme val="minor"/>
    </font>
    <font>
      <color theme="1"/>
      <name val="Arial"/>
      <scheme val="minor"/>
    </font>
    <font>
      <strike/>
      <sz val="10.0"/>
      <color theme="1"/>
      <name val="Arial"/>
      <scheme val="minor"/>
    </font>
    <font>
      <strike/>
      <color theme="1"/>
      <name val="Arial"/>
      <scheme val="minor"/>
    </font>
    <font>
      <strike/>
      <sz val="10.0"/>
      <color rgb="FF0000FF"/>
    </font>
    <font>
      <color rgb="FF000000"/>
      <name val="Arial"/>
      <scheme val="minor"/>
    </font>
    <font>
      <u/>
      <color rgb="FF0000FF"/>
    </font>
    <font>
      <u/>
      <color rgb="FF0000FF"/>
    </font>
    <font>
      <u/>
      <sz val="10.0"/>
      <color rgb="FF0000FF"/>
    </font>
    <font>
      <sz val="10.0"/>
      <color rgb="FF0000FF"/>
    </font>
    <font>
      <color theme="1"/>
      <name val="Arial"/>
    </font>
    <font>
      <u/>
      <color rgb="FF1155CC"/>
      <name val="Arial"/>
    </font>
    <font>
      <u/>
      <color rgb="FF0000FF"/>
      <name val="Arial"/>
    </font>
    <font>
      <u/>
      <color rgb="FF0000FF"/>
      <name val="Arial"/>
    </font>
    <font>
      <u/>
      <color rgb="FF1155CC"/>
      <name val="Arial"/>
    </font>
    <font>
      <color rgb="FF000000"/>
      <name val="&quot;Arial&quot;"/>
    </font>
    <font>
      <u/>
      <sz val="10.0"/>
      <color rgb="FF0000FF"/>
    </font>
    <font>
      <u/>
      <sz val="10.0"/>
      <color rgb="FF0000FF"/>
    </font>
    <font>
      <u/>
      <color rgb="FF1155CC"/>
      <name val="Arial"/>
    </font>
    <font>
      <u/>
      <sz val="10.0"/>
      <color rgb="FF0000FF"/>
    </font>
    <font>
      <color rgb="FF000000"/>
      <name val="Arial"/>
    </font>
    <font>
      <sz val="10.0"/>
      <color rgb="FF000000"/>
    </font>
    <font>
      <u/>
      <sz val="10.0"/>
      <color rgb="FF1155CC"/>
    </font>
    <font>
      <u/>
      <color rgb="FF0000FF"/>
    </font>
    <font>
      <u/>
      <color rgb="FF0000FF"/>
    </font>
    <font>
      <u/>
      <color rgb="FF0000FF"/>
    </font>
    <font>
      <u/>
      <color rgb="FF0000FF"/>
    </font>
    <font>
      <sz val="11.0"/>
      <color rgb="FF000000"/>
      <name val="&quot;FZLTXHB--B51-0&quot;"/>
    </font>
    <font>
      <u/>
      <color rgb="FF0000FF"/>
    </font>
    <font>
      <u/>
      <color rgb="FF0000FF"/>
    </font>
  </fonts>
  <fills count="9">
    <fill>
      <patternFill patternType="none"/>
    </fill>
    <fill>
      <patternFill patternType="lightGray"/>
    </fill>
    <fill>
      <patternFill patternType="solid">
        <fgColor rgb="FFEEEEEE"/>
        <bgColor rgb="FFEEEEEE"/>
      </patternFill>
    </fill>
    <fill>
      <patternFill patternType="solid">
        <fgColor rgb="FFFFFF00"/>
        <bgColor rgb="FFFFFF00"/>
      </patternFill>
    </fill>
    <fill>
      <patternFill patternType="solid">
        <fgColor rgb="FF00FF00"/>
        <bgColor rgb="FF00FF00"/>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FFFFFF"/>
        <bgColor rgb="FFFFFFFF"/>
      </patternFill>
    </fill>
  </fills>
  <borders count="4">
    <border/>
    <border>
      <bottom style="thin">
        <color rgb="FF000000"/>
      </bottom>
    </border>
    <border>
      <top style="thin">
        <color rgb="FF000000"/>
      </top>
    </border>
    <border>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horizontal="left" readingOrder="0" vertical="top"/>
    </xf>
    <xf borderId="0" fillId="0" fontId="1" numFmtId="0" xfId="0" applyAlignment="1" applyFont="1">
      <alignment readingOrder="0" shrinkToFit="0" vertical="top"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0"/>
    </xf>
    <xf borderId="0" fillId="0" fontId="4" numFmtId="0" xfId="0" applyAlignment="1" applyFont="1">
      <alignment readingOrder="0" shrinkToFit="0" vertical="top" wrapText="0"/>
    </xf>
    <xf borderId="0" fillId="0" fontId="5" numFmtId="0" xfId="0" applyAlignment="1" applyFont="1">
      <alignment readingOrder="0" shrinkToFit="0" vertical="top" wrapText="1"/>
    </xf>
    <xf borderId="0" fillId="0" fontId="6" numFmtId="0" xfId="0" applyAlignment="1" applyFont="1">
      <alignment readingOrder="0" vertical="top"/>
    </xf>
    <xf borderId="0" fillId="0" fontId="6"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vertical="top" wrapText="0"/>
    </xf>
    <xf borderId="0" fillId="2" fontId="7" numFmtId="0" xfId="0" applyAlignment="1" applyFill="1" applyFont="1">
      <alignment readingOrder="0" shrinkToFit="0" vertical="top" wrapText="1"/>
    </xf>
    <xf borderId="0" fillId="0" fontId="1" numFmtId="0" xfId="0" applyAlignment="1" applyFont="1">
      <alignment readingOrder="0" shrinkToFit="0" vertical="top" wrapText="0"/>
    </xf>
    <xf borderId="0" fillId="3" fontId="1" numFmtId="0" xfId="0" applyAlignment="1" applyFill="1" applyFont="1">
      <alignment readingOrder="0" shrinkToFit="0" vertical="top" wrapText="1"/>
    </xf>
    <xf borderId="0" fillId="3" fontId="1" numFmtId="0" xfId="0" applyAlignment="1" applyFont="1">
      <alignment horizontal="left" readingOrder="0" vertical="top"/>
    </xf>
    <xf borderId="0" fillId="3" fontId="8" numFmtId="0" xfId="0" applyAlignment="1" applyFont="1">
      <alignment readingOrder="0" shrinkToFit="0" vertical="top" wrapText="1"/>
    </xf>
    <xf borderId="0" fillId="3" fontId="1" numFmtId="0" xfId="0" applyAlignment="1" applyFont="1">
      <alignment readingOrder="0" shrinkToFit="0" vertical="top" wrapText="0"/>
    </xf>
    <xf borderId="0" fillId="3" fontId="1" numFmtId="0" xfId="0" applyAlignment="1" applyFont="1">
      <alignment readingOrder="0" vertical="top"/>
    </xf>
    <xf borderId="0" fillId="3" fontId="1" numFmtId="0" xfId="0" applyAlignment="1" applyFont="1">
      <alignment shrinkToFit="0" vertical="top" wrapText="1"/>
    </xf>
    <xf borderId="0" fillId="0" fontId="1" numFmtId="0" xfId="0" applyAlignment="1" applyFont="1">
      <alignment horizontal="left" vertical="top"/>
    </xf>
    <xf borderId="0" fillId="4" fontId="1" numFmtId="0" xfId="0" applyAlignment="1" applyFill="1" applyFont="1">
      <alignment readingOrder="0" shrinkToFit="0" vertical="top" wrapText="1"/>
    </xf>
    <xf borderId="0" fillId="0" fontId="0" numFmtId="0" xfId="0" applyAlignment="1" applyFont="1">
      <alignment readingOrder="0" shrinkToFit="0" vertical="top" wrapText="1"/>
    </xf>
    <xf borderId="0" fillId="0" fontId="1" numFmtId="164" xfId="0" applyAlignment="1" applyFont="1" applyNumberFormat="1">
      <alignment horizontal="left" readingOrder="0" vertical="top"/>
    </xf>
    <xf borderId="0" fillId="0" fontId="1" numFmtId="164" xfId="0" applyAlignment="1" applyFont="1" applyNumberForma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shrinkToFit="0" vertical="top" wrapText="1"/>
    </xf>
    <xf borderId="0" fillId="0" fontId="10" numFmtId="0" xfId="0" applyAlignment="1" applyFont="1">
      <alignment readingOrder="0" vertical="top"/>
    </xf>
    <xf borderId="0" fillId="0" fontId="10" numFmtId="164" xfId="0" applyAlignment="1" applyFont="1" applyNumberFormat="1">
      <alignment horizontal="left" readingOrder="0"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shrinkToFit="0" vertical="top" wrapText="1"/>
    </xf>
    <xf borderId="0" fillId="0" fontId="11" numFmtId="164" xfId="0" applyAlignment="1" applyFont="1" applyNumberFormat="1">
      <alignment horizontal="lef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13" numFmtId="0" xfId="0" applyAlignment="1" applyFont="1">
      <alignment readingOrder="0" shrinkToFit="0" vertical="top" wrapText="0"/>
    </xf>
    <xf borderId="0" fillId="0" fontId="11" numFmtId="0" xfId="0" applyAlignment="1" applyFont="1">
      <alignment readingOrder="0" vertical="top"/>
    </xf>
    <xf borderId="0" fillId="0" fontId="11" numFmtId="0" xfId="0" applyAlignment="1" applyFont="1">
      <alignment shrinkToFit="0" vertical="top" wrapText="1"/>
    </xf>
    <xf borderId="0" fillId="4" fontId="10" numFmtId="0" xfId="0" applyAlignment="1" applyFont="1">
      <alignment shrinkToFit="0" vertical="top" wrapText="1"/>
    </xf>
    <xf borderId="0" fillId="0" fontId="1" numFmtId="164" xfId="0" applyAlignment="1" applyFont="1" applyNumberFormat="1">
      <alignment readingOrder="0" shrinkToFit="0" vertical="top" wrapText="0"/>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vertical="top" wrapText="1"/>
    </xf>
    <xf borderId="0" fillId="3" fontId="0" numFmtId="0" xfId="0" applyAlignment="1" applyFont="1">
      <alignment readingOrder="0" shrinkToFit="0" vertical="top" wrapText="1"/>
    </xf>
    <xf borderId="0" fillId="0" fontId="10" numFmtId="0" xfId="0" applyAlignment="1" applyFont="1">
      <alignment vertical="top"/>
    </xf>
    <xf borderId="0" fillId="0" fontId="10" numFmtId="0" xfId="0" applyAlignment="1" applyFont="1">
      <alignment readingOrder="0" vertical="top"/>
    </xf>
    <xf borderId="0" fillId="0" fontId="10" numFmtId="0" xfId="0" applyAlignment="1" applyFont="1">
      <alignment vertical="top"/>
    </xf>
    <xf borderId="0" fillId="0" fontId="10" numFmtId="164" xfId="0" applyAlignment="1" applyFont="1" applyNumberFormat="1">
      <alignment horizontal="left" readingOrder="0" vertical="top"/>
    </xf>
    <xf borderId="0" fillId="3" fontId="10" numFmtId="0" xfId="0" applyAlignment="1" applyFont="1">
      <alignment readingOrder="0" shrinkToFit="0" vertical="top" wrapText="1"/>
    </xf>
    <xf borderId="0" fillId="0" fontId="10" numFmtId="0" xfId="0" applyAlignment="1" applyFont="1">
      <alignment shrinkToFit="0" vertical="top" wrapText="0"/>
    </xf>
    <xf borderId="0" fillId="3" fontId="10" numFmtId="0" xfId="0" applyAlignment="1" applyFont="1">
      <alignment readingOrder="0" shrinkToFit="0" vertical="top" wrapText="1"/>
    </xf>
    <xf borderId="0" fillId="0" fontId="14" numFmtId="0" xfId="0" applyAlignment="1" applyFont="1">
      <alignment shrinkToFit="0" vertical="top" wrapText="1"/>
    </xf>
    <xf borderId="0" fillId="0" fontId="1" numFmtId="165" xfId="0" applyAlignment="1" applyFont="1" applyNumberFormat="1">
      <alignment horizontal="left" readingOrder="0" shrinkToFit="0" vertical="top" wrapText="1"/>
    </xf>
    <xf borderId="0" fillId="0" fontId="0" numFmtId="0" xfId="0" applyAlignment="1" applyFont="1">
      <alignment readingOrder="0" shrinkToFit="0" vertical="top" wrapText="1"/>
    </xf>
    <xf borderId="0" fillId="0" fontId="1" numFmtId="0" xfId="0" applyAlignment="1" applyFont="1">
      <alignment readingOrder="0" shrinkToFit="0" vertical="top" wrapText="1"/>
    </xf>
    <xf borderId="0" fillId="5" fontId="1" numFmtId="0" xfId="0" applyAlignment="1" applyFill="1" applyFont="1">
      <alignment readingOrder="0" shrinkToFit="0" vertical="top" wrapText="1"/>
    </xf>
    <xf borderId="0" fillId="0" fontId="1" numFmtId="166" xfId="0" applyAlignment="1" applyFont="1" applyNumberFormat="1">
      <alignment horizontal="left" readingOrder="0" shrinkToFit="0" vertical="top" wrapText="1"/>
    </xf>
    <xf borderId="0" fillId="0" fontId="10" numFmtId="164" xfId="0" applyAlignment="1" applyFont="1" applyNumberFormat="1">
      <alignment readingOrder="0" vertical="top"/>
    </xf>
    <xf borderId="0" fillId="0" fontId="11" numFmtId="0" xfId="0" applyAlignment="1" applyFont="1">
      <alignment readingOrder="0" shrinkToFit="0" vertical="top" wrapText="0"/>
    </xf>
    <xf borderId="0" fillId="6" fontId="1" numFmtId="0" xfId="0" applyAlignment="1" applyFill="1" applyFont="1">
      <alignment readingOrder="0" shrinkToFit="0" vertical="top" wrapText="1"/>
    </xf>
    <xf borderId="0" fillId="0" fontId="15" numFmtId="0" xfId="0" applyAlignment="1" applyFont="1">
      <alignment readingOrder="0" vertical="top"/>
    </xf>
    <xf borderId="0" fillId="0" fontId="16" numFmtId="0" xfId="0" applyAlignment="1" applyFont="1">
      <alignment readingOrder="0" shrinkToFit="0" vertical="top" wrapText="1"/>
    </xf>
    <xf borderId="0" fillId="0" fontId="10" numFmtId="0" xfId="0" applyAlignment="1" applyFont="1">
      <alignment readingOrder="0" shrinkToFit="0" vertical="top" wrapText="1"/>
    </xf>
    <xf borderId="0" fillId="7" fontId="1" numFmtId="0" xfId="0" applyAlignment="1" applyFill="1" applyFont="1">
      <alignment readingOrder="0" shrinkToFit="0" vertical="top" wrapText="1"/>
    </xf>
    <xf borderId="0" fillId="7" fontId="10" numFmtId="0" xfId="0" applyAlignment="1" applyFont="1">
      <alignment readingOrder="0" shrinkToFit="0" vertical="top" wrapText="1"/>
    </xf>
    <xf borderId="0" fillId="0" fontId="10" numFmtId="0" xfId="0" applyAlignment="1" applyFont="1">
      <alignment vertical="top"/>
    </xf>
    <xf borderId="0" fillId="7" fontId="17" numFmtId="0" xfId="0" applyAlignment="1" applyFont="1">
      <alignment readingOrder="0" shrinkToFit="0" vertical="top" wrapText="1"/>
    </xf>
    <xf borderId="0" fillId="0" fontId="10" numFmtId="165" xfId="0" applyAlignment="1" applyFont="1" applyNumberFormat="1">
      <alignment readingOrder="0" vertical="top"/>
    </xf>
    <xf borderId="0" fillId="0" fontId="18" numFmtId="0" xfId="0" applyAlignment="1" applyFont="1">
      <alignment readingOrder="0" shrinkToFit="0" vertical="top" wrapText="1"/>
    </xf>
    <xf borderId="0" fillId="0" fontId="19" numFmtId="0" xfId="0" applyAlignment="1" applyFont="1">
      <alignment shrinkToFit="0" vertical="top" wrapText="1"/>
    </xf>
    <xf borderId="0" fillId="0" fontId="19" numFmtId="167" xfId="0" applyAlignment="1" applyFont="1" applyNumberFormat="1">
      <alignment readingOrder="0" shrinkToFit="0" vertical="top" wrapText="1"/>
    </xf>
    <xf borderId="0" fillId="0" fontId="20" numFmtId="0" xfId="0" applyAlignment="1" applyFont="1">
      <alignment shrinkToFit="0" vertical="top" wrapText="1"/>
    </xf>
    <xf borderId="0" fillId="0" fontId="19" numFmtId="0" xfId="0" applyAlignment="1" applyFont="1">
      <alignment vertical="top"/>
    </xf>
    <xf borderId="0" fillId="0" fontId="21" numFmtId="0" xfId="0" applyAlignment="1" applyFont="1">
      <alignment shrinkToFit="0" vertical="top" wrapText="1"/>
    </xf>
    <xf borderId="0" fillId="0" fontId="22" numFmtId="0" xfId="0" applyAlignment="1" applyFont="1">
      <alignment readingOrder="0" shrinkToFit="0" vertical="top" wrapText="1"/>
    </xf>
    <xf borderId="1" fillId="0" fontId="19" numFmtId="0" xfId="0" applyAlignment="1" applyBorder="1" applyFont="1">
      <alignment shrinkToFit="0" vertical="top" wrapText="1"/>
    </xf>
    <xf borderId="1" fillId="0" fontId="19" numFmtId="0" xfId="0" applyAlignment="1" applyBorder="1" applyFont="1">
      <alignment readingOrder="0" shrinkToFit="0" vertical="top" wrapText="1"/>
    </xf>
    <xf borderId="1" fillId="0" fontId="23" numFmtId="0" xfId="0" applyAlignment="1" applyBorder="1" applyFont="1">
      <alignment shrinkToFit="0" vertical="top" wrapText="1"/>
    </xf>
    <xf borderId="1" fillId="0" fontId="19" numFmtId="167" xfId="0" applyAlignment="1" applyBorder="1" applyFont="1" applyNumberFormat="1">
      <alignment readingOrder="0" shrinkToFit="0" vertical="top" wrapText="1"/>
    </xf>
    <xf borderId="1" fillId="0" fontId="19" numFmtId="0" xfId="0" applyAlignment="1" applyBorder="1" applyFont="1">
      <alignment vertical="top"/>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0" fillId="0" fontId="19" numFmtId="0" xfId="0" applyAlignment="1" applyFont="1">
      <alignment readingOrder="0" shrinkToFit="0" vertical="top" wrapText="1"/>
    </xf>
    <xf borderId="0" fillId="3" fontId="19" numFmtId="0" xfId="0" applyAlignment="1" applyFont="1">
      <alignment readingOrder="0" shrinkToFit="0" vertical="top" wrapText="1"/>
    </xf>
    <xf borderId="0" fillId="0" fontId="19" numFmtId="0" xfId="0" applyAlignment="1" applyFont="1">
      <alignment horizontal="center" readingOrder="0" vertical="top"/>
    </xf>
    <xf borderId="0" fillId="3" fontId="19" numFmtId="0" xfId="0" applyAlignment="1" applyFont="1">
      <alignment shrinkToFit="0" vertical="top" wrapText="1"/>
    </xf>
    <xf borderId="0" fillId="0" fontId="19" numFmtId="0" xfId="0" applyAlignment="1" applyFont="1">
      <alignment horizontal="center" vertical="top"/>
    </xf>
    <xf borderId="0" fillId="0" fontId="24" numFmtId="0" xfId="0" applyAlignment="1" applyFont="1">
      <alignment readingOrder="0"/>
    </xf>
    <xf borderId="2" fillId="0" fontId="1" numFmtId="0" xfId="0" applyAlignment="1" applyBorder="1" applyFont="1">
      <alignment readingOrder="0" shrinkToFit="0" vertical="top" wrapText="1"/>
    </xf>
    <xf borderId="2" fillId="0" fontId="1" numFmtId="164" xfId="0" applyAlignment="1" applyBorder="1" applyFont="1" applyNumberFormat="1">
      <alignment horizontal="left" readingOrder="0" shrinkToFit="0" vertical="top" wrapText="1"/>
    </xf>
    <xf borderId="2" fillId="0" fontId="25" numFmtId="0" xfId="0" applyAlignment="1" applyBorder="1" applyFont="1">
      <alignment readingOrder="0" shrinkToFit="0" vertical="top" wrapText="1"/>
    </xf>
    <xf borderId="2" fillId="0" fontId="26" numFmtId="0" xfId="0" applyAlignment="1" applyBorder="1" applyFont="1">
      <alignment readingOrder="0" shrinkToFit="0" vertical="top" wrapText="0"/>
    </xf>
    <xf borderId="2" fillId="0" fontId="1" numFmtId="0" xfId="0" applyAlignment="1" applyBorder="1" applyFont="1">
      <alignment readingOrder="0" vertical="top"/>
    </xf>
    <xf borderId="2" fillId="0" fontId="1" numFmtId="0" xfId="0" applyAlignment="1" applyBorder="1" applyFont="1">
      <alignment shrinkToFit="0" vertical="top" wrapText="1"/>
    </xf>
    <xf borderId="0" fillId="0" fontId="19" numFmtId="0" xfId="0" applyAlignment="1" applyFont="1">
      <alignment vertical="bottom"/>
    </xf>
    <xf borderId="0" fillId="0" fontId="19" numFmtId="0" xfId="0" applyAlignment="1" applyFont="1">
      <alignment readingOrder="0" vertical="bottom"/>
    </xf>
    <xf borderId="0" fillId="0" fontId="19" numFmtId="0" xfId="0" applyAlignment="1" applyFont="1">
      <alignment shrinkToFit="0" vertical="bottom" wrapText="1"/>
    </xf>
    <xf borderId="0" fillId="0" fontId="27" numFmtId="0" xfId="0" applyAlignment="1" applyFont="1">
      <alignment shrinkToFit="0" vertical="bottom" wrapText="1"/>
    </xf>
    <xf borderId="1" fillId="0" fontId="1" numFmtId="164" xfId="0" applyAlignment="1" applyBorder="1" applyFont="1" applyNumberFormat="1">
      <alignment horizontal="left" readingOrder="0" shrinkToFit="0" vertical="top" wrapText="1"/>
    </xf>
    <xf borderId="1" fillId="3" fontId="1" numFmtId="0" xfId="0" applyAlignment="1" applyBorder="1" applyFont="1">
      <alignment readingOrder="0" shrinkToFit="0" vertical="top" wrapText="1"/>
    </xf>
    <xf borderId="1" fillId="0" fontId="28" numFmtId="0" xfId="0" applyAlignment="1" applyBorder="1" applyFont="1">
      <alignment readingOrder="0" shrinkToFit="0" vertical="top" wrapText="1"/>
    </xf>
    <xf borderId="1" fillId="0" fontId="10" numFmtId="0" xfId="0" applyBorder="1" applyFont="1"/>
    <xf borderId="3" fillId="8" fontId="29" numFmtId="0" xfId="0" applyAlignment="1" applyBorder="1" applyFill="1" applyFont="1">
      <alignment horizontal="center" shrinkToFit="0" vertical="top" wrapText="0"/>
    </xf>
    <xf borderId="0" fillId="0" fontId="30" numFmtId="0" xfId="0" applyAlignment="1" applyFont="1">
      <alignment readingOrder="0" shrinkToFit="0" vertical="top" wrapText="0"/>
    </xf>
    <xf borderId="0" fillId="0" fontId="10" numFmtId="0" xfId="0" applyAlignment="1" applyFont="1">
      <alignment readingOrder="0" shrinkToFit="0" wrapText="1"/>
    </xf>
    <xf borderId="0" fillId="0" fontId="31" numFmtId="0" xfId="0" applyAlignment="1" applyFont="1">
      <alignment readingOrder="0" shrinkToFit="0" vertical="top" wrapText="1"/>
    </xf>
    <xf borderId="0" fillId="0" fontId="10" numFmtId="0" xfId="0" applyAlignment="1" applyFont="1">
      <alignment readingOrder="0"/>
    </xf>
    <xf borderId="0" fillId="0" fontId="1" numFmtId="0" xfId="0" applyAlignment="1" applyFont="1">
      <alignment readingOrder="0" shrinkToFit="0" vertical="top" wrapText="1"/>
    </xf>
    <xf borderId="0" fillId="0" fontId="10" numFmtId="0" xfId="0" applyFont="1"/>
    <xf borderId="0" fillId="0" fontId="10" numFmtId="0" xfId="0" applyAlignment="1" applyFont="1">
      <alignment readingOrder="0" shrinkToFit="0" wrapText="0"/>
    </xf>
    <xf borderId="0" fillId="0" fontId="32" numFmtId="0" xfId="0" applyAlignment="1" applyFont="1">
      <alignment readingOrder="0" shrinkToFit="0" wrapText="0"/>
    </xf>
    <xf borderId="0" fillId="0" fontId="10" numFmtId="0" xfId="0" applyAlignment="1" applyFont="1">
      <alignment shrinkToFit="0" wrapText="0"/>
    </xf>
    <xf borderId="0" fillId="0" fontId="33" numFmtId="0" xfId="0" applyAlignment="1" applyFont="1">
      <alignment readingOrder="0" shrinkToFit="0" wrapText="0"/>
    </xf>
    <xf borderId="0" fillId="0" fontId="24" numFmtId="0" xfId="0" applyAlignment="1" applyFont="1">
      <alignment readingOrder="0" shrinkToFit="0" wrapText="1"/>
    </xf>
    <xf borderId="0" fillId="0" fontId="34" numFmtId="0" xfId="0" applyAlignment="1" applyFont="1">
      <alignment readingOrder="0"/>
    </xf>
    <xf borderId="0" fillId="0" fontId="10" numFmtId="0" xfId="0" applyAlignment="1" applyFont="1">
      <alignment shrinkToFit="0" wrapText="1"/>
    </xf>
    <xf borderId="0" fillId="0" fontId="35" numFmtId="0" xfId="0" applyAlignment="1" applyFont="1">
      <alignment readingOrder="0" shrinkToFit="0" wrapText="1"/>
    </xf>
    <xf borderId="0" fillId="0" fontId="10" numFmtId="166" xfId="0" applyAlignment="1" applyFont="1" applyNumberFormat="1">
      <alignment readingOrder="0" shrinkToFit="0" wrapText="1"/>
    </xf>
    <xf borderId="0" fillId="0" fontId="10" numFmtId="164" xfId="0" applyAlignment="1" applyFont="1" applyNumberFormat="1">
      <alignment readingOrder="0" shrinkToFit="0" wrapText="1"/>
    </xf>
    <xf borderId="0" fillId="0" fontId="36" numFmtId="0" xfId="0" applyAlignment="1" applyFont="1">
      <alignment readingOrder="0"/>
    </xf>
    <xf borderId="0" fillId="0" fontId="37" numFmtId="0" xfId="0" applyAlignment="1" applyFont="1">
      <alignment readingOrder="0" shrinkToFit="0" wrapText="1"/>
    </xf>
    <xf borderId="0" fillId="0" fontId="10" numFmtId="0" xfId="0" applyAlignment="1" applyFont="1">
      <alignment readingOrder="0"/>
    </xf>
    <xf borderId="0" fillId="0" fontId="10" numFmtId="0" xfId="0" applyAlignment="1" applyFont="1">
      <alignment horizontal="right" readingOrder="0"/>
    </xf>
    <xf borderId="0" fillId="0" fontId="10" numFmtId="0" xfId="0" applyAlignment="1" applyFont="1">
      <alignment readingOrder="0" shrinkToFit="0" wrapText="0"/>
    </xf>
    <xf borderId="0" fillId="0" fontId="38" numFmtId="0" xfId="0" applyAlignment="1" applyFont="1">
      <alignment readingOrder="0"/>
    </xf>
    <xf borderId="0" fillId="0" fontId="10" numFmtId="0" xfId="0" applyAlignment="1" applyFont="1">
      <alignment horizontal="right" readingOrder="0" shrinkToFit="0" wrapText="1"/>
    </xf>
    <xf borderId="0" fillId="0" fontId="10" numFmtId="0" xfId="0" applyAlignment="1" applyFont="1">
      <alignment horizontal="right"/>
    </xf>
    <xf borderId="0" fillId="0" fontId="1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Task id="{8b418873-ed7e-4f4b-ba81-602c6633c0ad}">
    <Anchor>
      <Comment id="{51139dbb-e6ea-4414-a0d6-e80cc3aa8c76}"/>
    </Anchor>
    <History>
      <Event time="2024-02-29T09:57:52.00" id="{6d88d406-1921-4db4-b4fa-a809d77b939d}">
        <Attribution userId="placeholder@email.com" userName="Amos Li" userProvider="google-sheets"/>
        <Anchor>
          <Comment id="{51139dbb-e6ea-4414-a0d6-e80cc3aa8c76}"/>
        </Anchor>
        <Create/>
      </Event>
      <Event time="2024-02-29T09:57:52.00" id="{ab3f1e76-8845-4c09-8616-2db57a98e703}">
        <Attribution userId="placeholder@email.com" userName="Amos Li" userProvider="google-sheets"/>
        <Anchor>
          <Comment id="{51139dbb-e6ea-4414-a0d6-e80cc3aa8c76}"/>
        </Anchor>
        <Assign userId="ian@ocf.tw" userName="ian@ocf.tw" userProvider="google-sheets"/>
      </Event>
    </History>
  </Task>
  <Task id="{3af1b103-cd33-4aac-a6e9-81d011ac53b0}">
    <Anchor>
      <Comment id="{9af0ba6e-c09b-44aa-b715-e226e5baa97f}"/>
    </Anchor>
    <History>
      <Event time="2024-03-01T10:19:30.00" id="{ccaf749f-3ca9-4a7b-8f84-cc5e526a2659}">
        <Attribution userId="placeholder@email.com" userName="Amos Li" userProvider="google-sheets"/>
        <Anchor>
          <Comment id="{9af0ba6e-c09b-44aa-b715-e226e5baa97f}"/>
        </Anchor>
        <Create/>
      </Event>
      <Event time="2024-03-01T10:19:30.00" id="{167547ee-dcac-4d12-92fe-1ead81005ef2}">
        <Attribution userId="placeholder@email.com" userName="Amos Li" userProvider="google-sheets"/>
        <Anchor>
          <Comment id="{9af0ba6e-c09b-44aa-b715-e226e5baa97f}"/>
        </Anchor>
        <Assign userId="liyhs@ocf.tw" userName="liyhs@ocf.tw" userProvider="google-sheets"/>
      </Event>
    </History>
  </Task>
  <Task id="{961c49c8-3e8b-4605-988c-6a70ab0b5eb3}">
    <Anchor>
      <Comment id="{2c2ca7ef-01b6-40ba-ba97-c302a9f400dd}"/>
    </Anchor>
    <History>
      <Event time="2024-10-22T05:42:06.00" id="{c20bce85-08d5-41b3-8ce0-671391b1d2ed}">
        <Attribution userId="placeholder@email.com" userName="李盈萱" userProvider="google-sheets"/>
        <Anchor>
          <Comment id="{2c2ca7ef-01b6-40ba-ba97-c302a9f400dd}"/>
        </Anchor>
        <Create/>
      </Event>
      <Event time="2024-10-22T05:42:06.00" id="{c1208911-1d5f-4073-8f81-effc0f3bd8dd}">
        <Attribution userId="placeholder@email.com" userName="李盈萱" userProvider="google-sheets"/>
        <Anchor>
          <Comment id="{2c2ca7ef-01b6-40ba-ba97-c302a9f400dd}"/>
        </Anchor>
        <Assign userId="liyhs@ocf.tw" userName="liyhs@ocf.tw" userProvider="google-sheets"/>
      </Event>
    </History>
  </Task>
  <Task id="{4fc4bcb7-1b0a-4ab7-a77a-755be4854c01}">
    <Anchor>
      <Comment id="{11657911-37c6-4b29-a82e-b2beee077ddc}"/>
    </Anchor>
    <History>
      <Event time="2024-08-09T07:54:39.00" id="{9fc0757d-b90a-48c3-83f7-31240dc8353e}">
        <Attribution userId="placeholder@email.com" userName="Amos Li" userProvider="google-sheets"/>
        <Anchor>
          <Comment id="{11657911-37c6-4b29-a82e-b2beee077ddc}"/>
        </Anchor>
        <Create/>
      </Event>
      <Event time="2024-08-09T07:54:39.00" id="{cbdad442-0026-44a6-88e0-a9f0b1002f23}">
        <Attribution userId="placeholder@email.com" userName="Amos Li" userProvider="google-sheets"/>
        <Anchor>
          <Comment id="{11657911-37c6-4b29-a82e-b2beee077ddc}"/>
        </Anchor>
        <Assign userId="liyhs@ocf.tw" userName="liyhs@ocf.tw"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an@ocf.tw" id="{b611e96e-df06-42a9-845d-cb72a0941240}" userId="ian@ocf.tw" providerId="google-sheets"/>
  <x18tc:person displayName="李盈萱" id="{6725dd1b-2534-4b99-ad1b-9026c0c70c69}" providerId="google-sheets"/>
  <x18tc:person displayName="leaf@ocf.tw" id="{c1ab6817-7dda-4213-893f-18d0bbd39a6d}" userId="leaf@ocf.tw" providerId="google-sheets"/>
  <x18tc:person displayName="Liu Ian" id="{8b0c81b1-4032-494f-82d6-39ba5248e505}" providerId="google-sheets"/>
  <x18tc:person displayName="liyhs@ocf.tw" id="{30fe6acb-a399-41bb-aa0b-514d1f4cc7c9}" userId="liyhs@ocf.tw" providerId="google-sheets"/>
  <x18tc:person displayName="Amos Li" id="{91f60802-b70f-4388-9eba-d8ea3fc71db9}" providerId="google-sheets"/>
  <x18tc:person displayName="amos@ocf.tw" id="{e26efe27-9a32-4986-9701-143d7a908a93}" userId="amos@ocf.tw" providerId="google-sheets"/>
  <x18tc:person displayName="CHENG PENG" id="{c8278086-c4ee-4208-aa1b-7f3aafe707c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4" dT="2023-11-14T09:16:56.00" personId="{91f60802-b70f-4388-9eba-d8ea3fc71db9}" id="{e3579555-00ce-4964-8c72-7afd0f1d22e4}" done="0">
    <x18tc:text xml:space="preserve">從此筆資料以下，補完各欄的值</x18tc:text>
  </x18tc:threadedComment>
  <x18tc:threadedComment ref="N208" dT="2024-05-09T08:36:03.00" personId="{91f60802-b70f-4388-9eba-d8ea3fc71db9}" id="{013996d4-0b6e-467a-95a0-212327b658c0}" done="0">
    <x18tc:text xml:space="preserve">盈萱正式參戰新聞跟追</x18tc:text>
  </x18tc:threadedComment>
  <x18tc:threadedComment ref="N148" dT="2024-02-29T09:57:52.00" personId="{91f60802-b70f-4388-9eba-d8ea3fc71db9}" id="{51139dbb-e6ea-4414-a0d6-e80cc3aa8c76}" done="0">
    <x18tc:text xml:space="preserve">@ian@ocf.tw
已指派給ian@ocf.tw</x18tc:text>
    <x18tc:mentions>
      <x18tc:mention mentionpersonId="{b611e96e-df06-42a9-845d-cb72a0941240}" mentionId="{561b4612-aabe-4013-b4eb-271b1b6c383c}" startIndex="0" length="11"/>
    </x18tc:mentions>
  </x18tc:threadedComment>
  <x18tc:threadedComment ref="F385" dT="2024-09-11T07:28:16.00" personId="{6725dd1b-2534-4b99-ad1b-9026c0c70c69}" id="{72544480-660b-4d01-bbae-4aef25634408}" done="0">
    <x18tc:text xml:space="preserve">純 DR、IF 類別的原則上不收錄，只在 Inoreader 裡上標籤</x18tc:text>
  </x18tc:threadedComment>
  <x18tc:threadedComment ref="F385" dT="2024-09-18T06:01:15.00" personId="{c8278086-c4ee-4208-aa1b-7f3aafe707c5}" id="{f705104e-de23-4abc-8631-7387703deafe}" parentId="{72544480-660b-4d01-bbae-4aef25634408}">
    <x18tc:text xml:space="preserve">收到，感謝！</x18tc:text>
  </x18tc:threadedComment>
  <x18tc:threadedComment ref="E401" dT="2024-09-25T07:38:47.00" personId="{91f60802-b70f-4388-9eba-d8ea3fc71db9}" id="{ef9fb468-d857-4d63-85bd-d36c8e56f4b1}" done="1">
    <x18tc:text xml:space="preserve">日期格式錯誤</x18tc:text>
  </x18tc:threadedComment>
  <x18tc:threadedComment ref="E401" dT="2024-09-26T03:19:35.00" personId="{c8278086-c4ee-4208-aa1b-7f3aafe707c5}" id="{a90f5c92-2007-4011-bc67-15b7b37f5076}" parentId="{ef9fb468-d857-4d63-85bd-d36c8e56f4b1}">
    <x18tc:text xml:space="preserve">修改完成～</x18tc:text>
  </x18tc:threadedComment>
  <x18tc:threadedComment ref="F167" dT="2024-03-04T09:22:53.00" personId="{91f60802-b70f-4388-9eba-d8ea3fc71db9}" id="{5420cb3f-16bd-4a23-ab05-929a4245bcbf}" done="0">
    <x18tc:text xml:space="preserve">1. 是否有濫用資料的疑慮
2. 政府轉投資公司，這樣用資料，是否等同政府亂用資料</x18tc:text>
  </x18tc:threadedComment>
  <x18tc:threadedComment ref="H303" dT="2024-07-17T06:09:57.00" personId="{6725dd1b-2534-4b99-ad1b-9026c0c70c69}" id="{a6cf20f6-a4e5-42f7-99a2-e6504df0f831}" done="1">
    <x18tc:text xml:space="preserve">建議收錄學習資源。</x18tc:text>
  </x18tc:threadedComment>
  <x18tc:threadedComment ref="F391" dT="2024-09-18T06:39:29.00" personId="{91f60802-b70f-4388-9eba-d8ea3fc71db9}" id="{6d4ae3b3-6e84-46c0-9f83-4052c645326e}" done="0">
    <x18tc:text xml:space="preserve">370+376+391</x18tc:text>
  </x18tc:threadedComment>
  <x18tc:threadedComment ref="F387" dT="2024-09-11T07:28:23.00" personId="{6725dd1b-2534-4b99-ad1b-9026c0c70c69}" id="{ae1d9c2f-e6df-4c73-9e2e-6b98479bbbac}" done="0">
    <x18tc:text xml:space="preserve">純 DR、IF 類別的原則上不收錄，只在 Inoreader 裡上標籤</x18tc:text>
  </x18tc:threadedComment>
  <x18tc:threadedComment ref="F387" dT="2024-09-18T06:12:00.00" personId="{c8278086-c4ee-4208-aa1b-7f3aafe707c5}" id="{2fb6d4a8-dde8-4bc1-acab-f13d3a3ccc4d}" parentId="{ae1d9c2f-e6df-4c73-9e2e-6b98479bbbac}">
    <x18tc:text xml:space="preserve">收到，感謝！</x18tc:text>
  </x18tc:threadedComment>
  <x18tc:threadedComment ref="D280" dT="2024-07-03T06:08:48.00" personId="{6725dd1b-2534-4b99-ad1b-9026c0c70c69}" id="{2d808155-9bc7-427c-83ae-01154d75e6d9}" done="0">
    <x18tc:text xml:space="preserve">之前有收錄過有關EHDS的文章</x18tc:text>
  </x18tc:threadedComment>
  <x18tc:threadedComment ref="F161" dT="2024-03-01T10:19:30.00" personId="{91f60802-b70f-4388-9eba-d8ea3fc71db9}" id="{9af0ba6e-c09b-44aa-b715-e226e5baa97f}" done="0">
    <x18tc:text xml:space="preserve">@liyhs@ocf.tw
已指派給liyhs@ocf.tw</x18tc:text>
    <x18tc:mentions>
      <x18tc:mention mentionpersonId="{30fe6acb-a399-41bb-aa0b-514d1f4cc7c9}" mentionId="{2468c627-2bfd-4e64-b379-fe69c76ffd61}" startIndex="0" length="13"/>
    </x18tc:mentions>
  </x18tc:threadedComment>
  <x18tc:threadedComment ref="C380" dT="2024-09-06T04:12:30.00" personId="{6725dd1b-2534-4b99-ad1b-9026c0c70c69}" id="{c315d8dc-97d8-4efb-aa51-2887e95428ca}" done="1">
    <x18tc:text xml:space="preserve">YH 尚未分享</x18tc:text>
  </x18tc:threadedComment>
  <x18tc:threadedComment ref="F386" dT="2024-09-11T07:46:34.00" personId="{91f60802-b70f-4388-9eba-d8ea3fc71db9}" id="{4bc7d95d-3e79-4a12-a0d2-908349cb8ef1}" done="0">
    <x18tc:text xml:space="preserve">許可證→授權</x18tc:text>
  </x18tc:threadedComment>
  <x18tc:threadedComment ref="F386" dT="2024-09-11T07:46:53.00" personId="{91f60802-b70f-4388-9eba-d8ea3fc71db9}" id="{ca25bbf9-2794-43a6-967d-3df14ab52d7f}" parentId="{4bc7d95d-3e79-4a12-a0d2-908349cb8ef1}">
    <x18tc:text xml:space="preserve">摘要再精減</x18tc:text>
  </x18tc:threadedComment>
  <x18tc:threadedComment ref="F386" dT="2024-09-11T07:47:31.00" personId="{91f60802-b70f-4388-9eba-d8ea3fc71db9}" id="{8308450a-417e-4870-93f0-a96579997faa}" parentId="{4bc7d95d-3e79-4a12-a0d2-908349cb8ef1}">
    <x18tc:text xml:space="preserve">數字千年版權法→數位千禧年著作權法</x18tc:text>
  </x18tc:threadedComment>
  <x18tc:threadedComment ref="F386" dT="2024-09-18T06:02:43.00" personId="{c8278086-c4ee-4208-aa1b-7f3aafe707c5}" id="{a71cfe5f-e602-4d63-be81-ade88bdc6267}" parentId="{4bc7d95d-3e79-4a12-a0d2-908349cb8ef1}">
    <x18tc:text xml:space="preserve">支語調整完成，感謝提醒</x18tc:text>
  </x18tc:threadedComment>
  <x18tc:threadedComment ref="F362" dT="2024-09-02T07:25:22.00" personId="{c8278086-c4ee-4208-aa1b-7f3aafe707c5}" id="{6a047eda-0846-480d-99ce-c5c3276af011}" done="0">
    <x18tc:text xml:space="preserve">地圖 licences
https://docs.overturemaps.org/attribution/</x18tc:text>
    <x18tc:extLst>
      <ext uri="{F7C98A9C-CBB3-438F-8F68-D28B6AF4A901}">
        <xltc2:checksum/>
        <xltc2:hyperlink startIndex="12" length="42" url="https://docs.overturemaps.org/attribution/"/>
      </ext>
    </x18tc:extLst>
  </x18tc:threadedComment>
  <x18tc:threadedComment ref="F500" dT="2024-12-09T02:47:08.00" personId="{c8278086-c4ee-4208-aa1b-7f3aafe707c5}" id="{4431b41a-55d4-4fb4-a78c-19799fdc69a1}" done="0">
    <x18tc:text xml:space="preserve">雖然 Google DeepMind 確實已開源 AlphaFold3 的推論工具，但模型權重——對程式的完整效用至關重要——並未公開，且需要向 DeepMind 手動提出申請，並遵守特定的授權協議。
授權條款明確限制 AlphaFold3 資產的使用，禁止用於商業活動或代表商業實體 
相較於 AlphaFold3，AlphaFold2 的模型權重是在創用 CC 姓名標示 4.0 國際授權下發布，允許更靈活的使用。</x18tc:text>
  </x18tc:threadedComment>
  <x18tc:threadedComment ref="L1" dT="2023-04-27T06:10:00.00" personId="{8b0c81b1-4032-494f-82d6-39ba5248e505}" id="{2a5cccff-1b63-4d1d-ba09-e762f1c9d20e}" done="1">
    <x18tc:text xml:space="preserve">下什麼關鍵字、後後續找什麼</x18tc:text>
  </x18tc:threadedComment>
  <x18tc:threadedComment ref="F74" dT="2023-11-16T08:29:43.00" personId="{91f60802-b70f-4388-9eba-d8ea3fc71db9}" id="{83e45f85-9300-4453-afd8-c377b39b8235}" done="0">
    <x18tc:text xml:space="preserve">「新竹市政府資料交換共通標準作業原則」只找的到 2017/08/21 的初版，若無新版法規，這裡的「日前」= 6 年前
然後高是2022年12月才就任新竹市長的</x18tc:text>
  </x18tc:threadedComment>
  <x18tc:threadedComment ref="D498" dT="2024-11-22T08:18:47.00" personId="{6725dd1b-2534-4b99-ad1b-9026c0c70c69}" id="{2637d927-697a-4646-99ba-ffee6285aff0}" done="0">
    <x18tc:text xml:space="preserve">Ian 說要加入列表的新聞。我先放在這~</x18tc:text>
  </x18tc:threadedComment>
  <x18tc:threadedComment ref="F438" dT="2024-10-22T05:42:06.00" personId="{6725dd1b-2534-4b99-ad1b-9026c0c70c69}" id="{2c2ca7ef-01b6-40ba-ba97-c302a9f400dd}" done="1">
    <x18tc:text xml:space="preserve">@liyhs@ocf.tw 再整理一下
已指派給liyhs@ocf.tw</x18tc:text>
    <x18tc:mentions>
      <x18tc:mention mentionpersonId="{30fe6acb-a399-41bb-aa0b-514d1f4cc7c9}" mentionId="{c44d9cc7-1c65-4ec8-b4e9-116c6808441e}" startIndex="0" length="13"/>
    </x18tc:mentions>
  </x18tc:threadedComment>
  <x18tc:threadedComment ref="F388" dT="2024-09-11T07:28:29.00" personId="{6725dd1b-2534-4b99-ad1b-9026c0c70c69}" id="{985fc1f9-584d-4549-a797-0507ffca9207}" done="0">
    <x18tc:text xml:space="preserve">純 DR、IF 類別的原則上不收錄，只在 Inoreader 裡上標籤</x18tc:text>
  </x18tc:threadedComment>
  <x18tc:threadedComment ref="F388" dT="2024-09-11T07:28:57.00" personId="{6725dd1b-2534-4b99-ad1b-9026c0c70c69}" id="{dda54252-dd67-4048-a4b5-828c95b68d32}" parentId="{985fc1f9-584d-4549-a797-0507ffca9207}">
    <x18tc:text xml:space="preserve">支語: 數據</x18tc:text>
  </x18tc:threadedComment>
  <x18tc:threadedComment ref="F388" dT="2024-09-18T06:03:57.00" personId="{c8278086-c4ee-4208-aa1b-7f3aafe707c5}" id="{79449d89-f70d-4971-8be0-01d74d85ba49}" parentId="{985fc1f9-584d-4549-a797-0507ffca9207}">
    <x18tc:text xml:space="preserve">收到，感謝！</x18tc:text>
  </x18tc:threadedComment>
  <x18tc:threadedComment ref="F312" dT="2024-07-10T06:01:26.00" personId="{6725dd1b-2534-4b99-ad1b-9026c0c70c69}" id="{d04f2e06-5ba5-4e6f-9a54-84e5613ec9ee}" done="0">
    <x18tc:text xml:space="preserve">與上週 氣候變遷研究 新聞有關</x18tc:text>
  </x18tc:threadedComment>
  <x18tc:threadedComment ref="F484" dT="2024-12-09T06:48:43.00" personId="{c8278086-c4ee-4208-aa1b-7f3aafe707c5}" id="{1a5aaa10-79aa-4b25-8f58-75bf70cac6ac}" done="0">
    <x18tc:text xml:space="preserve">linus 的回應
“Ok, lots of Russian trolls out and about.
It's entirely clear why the change was done, it's not getting reverted, and using multiple random anonymous accounts to try to ‘grass root’ it by Russian troll factories isn't going to change anything.
And FYI for the actual innocent bystanders who aren't troll farm accounts — the ‘various compliance requirements’ are not just a US thing.
If you haven't heard of Russian sanctions yet, you should try to read the news some day. And by ‘news,’ I don't mean Russian state-sponsored spam.
As to sending me a revert patch — please use whatever mush you call brains. I'm Finnish. Did you think I'd be supporting Russian aggression? Apparently it's not just lack of real news, it's lack of history knowledge too.”
https://lore.kernel.org/all/CAHk-=whNGNVnYHHSXUAsWds_MoZ-iEgRMQMxZZ0z-jY4uHT+Gg@mail.gmail.com/</x18tc:text>
    <x18tc:extLst>
      <ext uri="{F7C98A9C-CBB3-438F-8F68-D28B6AF4A901}">
        <xltc2:checksum/>
        <xltc2:hyperlink startIndex="764" length="95" url="https://lore.kernel.org/all/CAHk-=whNGNVnYHHSXUAsWds_MoZ-iEgRMQMxZZ0z-jY4uHT+Gg@mail.gmail.com/"/>
      </ext>
    </x18tc:extLst>
  </x18tc:threadedComment>
  <x18tc:threadedComment ref="F484" dT="2024-12-09T07:49:20.00" personId="{c8278086-c4ee-4208-aa1b-7f3aafe707c5}" id="{d7074eb7-84b5-49df-bf31-a72097c1e4f6}" parentId="{1a5aaa10-79aa-4b25-8f58-75bf70cac6ac}">
    <x18tc:text xml:space="preserve">要再標 RSIC-V 的制裁清單法遵</x18tc:text>
  </x18tc:threadedComment>
  <x18tc:threadedComment ref="F297" dT="2024-07-22T07:16:35.00" personId="{c8278086-c4ee-4208-aa1b-7f3aafe707c5}" id="{454cd0a9-3a08-4ca7-af5f-39fecd3a0d38}" done="0">
    <x18tc:text xml:space="preserve">剛才看了一下，問題應該是在於 Spotify 會透過網路遠端停用 CarThing</x18tc:text>
  </x18tc:threadedComment>
  <x18tc:threadedComment ref="N131" dT="2024-01-23T09:41:00.00" personId="{91f60802-b70f-4388-9eba-d8ea3fc71db9}" id="{de8266b2-dedf-483d-9b77-1027eba4cc7b}" done="0">
    <x18tc:text xml:space="preserve">可以寫一篇科普文：
- 分析個縣市的資料集數量</x18tc:text>
  </x18tc:threadedComment>
  <x18tc:threadedComment ref="F384" dT="2024-09-09T10:08:34.00" personId="{6725dd1b-2534-4b99-ad1b-9026c0c70c69}" id="{36624800-4ec8-4a2c-abf2-20e872bcaf5d}" done="0">
    <x18tc:text xml:space="preserve">純 DR、IF 類別的原則上不收錄，只在 Inoreader 裡上標籤</x18tc:text>
  </x18tc:threadedComment>
  <x18tc:threadedComment ref="F384" dT="2024-09-18T06:01:11.00" personId="{c8278086-c4ee-4208-aa1b-7f3aafe707c5}" id="{7c71f147-2993-4ff2-abb7-7bbf493ce70a}" parentId="{36624800-4ec8-4a2c-abf2-20e872bcaf5d}">
    <x18tc:text xml:space="preserve">收到，感謝！</x18tc:text>
  </x18tc:threadedComment>
  <x18tc:threadedComment ref="F306" dT="2024-07-22T07:18:18.00" personId="{c8278086-c4ee-4208-aa1b-7f3aafe707c5}" id="{7a35217a-32ba-4122-8545-0291e525d2cb}" done="0">
    <x18tc:text xml:space="preserve">知名的筆記軟體 Obsidian 開發團隊也有說過類似的話，也是丟 SDK 開放外部插件</x18tc:text>
  </x18tc:threadedComment>
  <x18tc:threadedComment ref="E323" dT="2024-08-09T07:54:39.00" personId="{91f60802-b70f-4388-9eba-d8ea3fc71db9}" id="{11657911-37c6-4b29-a82e-b2beee077ddc}" done="1">
    <x18tc:text xml:space="preserve">@liyhs@ocf.tw 日期格式錯囉
已指派給liyhs@ocf.tw</x18tc:text>
    <x18tc:mentions>
      <x18tc:mention mentionpersonId="{30fe6acb-a399-41bb-aa0b-514d1f4cc7c9}" mentionId="{19ddde8b-265a-4b24-9263-a0b2bca093e0}" startIndex="0" length="13"/>
    </x18tc:mentions>
  </x18tc:threadedComment>
  <x18tc:threadedComment ref="E323" dT="2024-08-09T08:20:36.00" personId="{6725dd1b-2534-4b99-ad1b-9026c0c70c69}" id="{bbbb0caf-9269-4588-a4cb-d76d91d05cf7}" parentId="{11657911-37c6-4b29-a82e-b2beee077ddc}">
    <x18tc:text xml:space="preserve">已修改</x18tc:text>
  </x18tc:threadedComment>
  <x18tc:threadedComment ref="F466" dT="2024-11-15T09:03:51.00" personId="{c8278086-c4ee-4208-aa1b-7f3aafe707c5}" id="{2b2ea0ab-7ad3-46bd-bce7-379f68fd04aa}" done="0">
    <x18tc:text xml:space="preserve">假開源</x18tc:text>
  </x18tc:threadedComment>
  <x18tc:threadedComment ref="F162" dT="2024-03-04T09:17:23.00" personId="{91f60802-b70f-4388-9eba-d8ea3fc71db9}" id="{f9d85016-131c-4310-b9b8-f7504ffecc0d}" done="0">
    <x18tc:text xml:space="preserve">可以作為案例跟大家分享</x18tc:text>
  </x18tc:threadedComment>
  <x18tc:threadedComment ref="F465" dT="2024-11-15T09:02:47.00" personId="{c8278086-c4ee-4208-aa1b-7f3aafe707c5}" id="{34c6e926-7697-4b66-becf-dc651c96a5a3}" done="0">
    <x18tc:text xml:space="preserve">@liyhs@ocf.tw 說很適合作為新人訓練的內容</x18tc:text>
    <x18tc:mentions>
      <x18tc:mention mentionpersonId="{30fe6acb-a399-41bb-aa0b-514d1f4cc7c9}" mentionId="{d9e6b329-11e8-47cd-aeed-77d415d7d0c8}" startIndex="0" length="13"/>
    </x18tc:mentions>
  </x18tc:threadedComment>
  <x18tc:threadedComment ref="N149" dT="2024-02-20T05:27:27.00" personId="{91f60802-b70f-4388-9eba-d8ea3fc71db9}" id="{d10b704b-42c4-4a23-952b-efb9dcc1d536}" done="0">
    <x18tc:text xml:space="preserve">@ian@ocf.tw @leaf@ocf.tw 請確認是否可行</x18tc:text>
    <x18tc:mentions>
      <x18tc:mention mentionpersonId="{b611e96e-df06-42a9-845d-cb72a0941240}" mentionId="{20908596-f8fa-47cf-bd6b-bf4db11fe2ce}" startIndex="0" length="11"/>
      <x18tc:mention mentionpersonId="{c1ab6817-7dda-4213-893f-18d0bbd39a6d}" mentionId="{55eb70d4-aa0f-414b-adaf-e5aaae7f7a33}" startIndex="12" length="12"/>
    </x18tc:mentions>
  </x18tc:threadedComment>
  <x18tc:threadedComment ref="F429" dT="2024-10-22T05:35:59.00" personId="{c8278086-c4ee-4208-aa1b-7f3aafe707c5}" id="{8ca68a17-deed-4068-9167-0d2320c34605}" done="1">
    <x18tc:text xml:space="preserve">@amos@ocf.tw</x18tc:text>
    <x18tc:mentions>
      <x18tc:mention mentionpersonId="{e26efe27-9a32-4986-9701-143d7a908a93}" mentionId="{6fc62c35-a029-4173-8088-08ff58c67b9b}" startIndex="0" length="1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3-11-14T09:16:12.00" personId="{91f60802-b70f-4388-9eba-d8ea3fc71db9}" id="{03b025cf-f7f3-4500-aa22-b1e969e5ff4b}" done="0">
    <x18tc:text xml:space="preserve">與 7 月的網站比較，報告新增 or 修改的狀態
用 wayback machine 找前版資料</x18tc:text>
  </x18tc:threadedComment>
  <x18tc:threadedComment ref="C10" dT="2023-11-14T09:18:59.00" personId="{91f60802-b70f-4388-9eba-d8ea3fc71db9}" id="{3c2df131-19e2-4668-ada7-fa481bade090}" parentId="{03b025cf-f7f3-4500-aa22-b1e969e5ff4b}">
    <x18tc:text xml:space="preserve">同時更新法規 ( if change exists )</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npost.tw/archives/69549" TargetMode="External"/><Relationship Id="rId194" Type="http://schemas.openxmlformats.org/officeDocument/2006/relationships/hyperlink" Target="https://www.ithome.com.tw/voice/161761" TargetMode="External"/><Relationship Id="rId193" Type="http://schemas.openxmlformats.org/officeDocument/2006/relationships/hyperlink" Target="https://www.ithome.com.tw/news/161573" TargetMode="External"/><Relationship Id="rId192" Type="http://schemas.openxmlformats.org/officeDocument/2006/relationships/hyperlink" Target="https://www.openchainproject.org/webinar/2024/03/14/webinar-understanding-github-copilot" TargetMode="External"/><Relationship Id="rId191" Type="http://schemas.openxmlformats.org/officeDocument/2006/relationships/hyperlink" Target="https://www.openchainproject.org/news/2024/03/13/kosyas-is-the-first-official-third-party-certifier-in-south-korea" TargetMode="External"/><Relationship Id="rId187" Type="http://schemas.openxmlformats.org/officeDocument/2006/relationships/hyperlink" Target="https://news.cnyes.com/news/id/5484398" TargetMode="External"/><Relationship Id="rId186" Type="http://schemas.openxmlformats.org/officeDocument/2006/relationships/hyperlink" Target="https://thepaypers.com/expert-opinion/open-data-regulatory-trends-to-watch-for-in-2024--1267180" TargetMode="External"/><Relationship Id="rId185" Type="http://schemas.openxmlformats.org/officeDocument/2006/relationships/hyperlink" Target="https://blog.coscup.org/2024/03/coscup-at-scale21x.html" TargetMode="External"/><Relationship Id="rId184" Type="http://schemas.openxmlformats.org/officeDocument/2006/relationships/hyperlink" Target="https://www.openchainproject.org/featured/2024/03/05/openchain-deep-dive-openeuler-ecosystem" TargetMode="External"/><Relationship Id="rId189" Type="http://schemas.openxmlformats.org/officeDocument/2006/relationships/hyperlink" Target="https://ec.ltn.com.tw/article/breakingnews/4594263" TargetMode="External"/><Relationship Id="rId188" Type="http://schemas.openxmlformats.org/officeDocument/2006/relationships/hyperlink" Target="https://www1.hkej.com/dailynews/finnews/article/3703913/8000%E5%B9%A3%E5%8F%8B%E8%81%9A%E9%A6%99%E6%B1%9F" TargetMode="External"/><Relationship Id="rId183" Type="http://schemas.openxmlformats.org/officeDocument/2006/relationships/hyperlink" Target="https://www.openchainproject.org/news/2024/02/29/circle-iso5230-conformant" TargetMode="External"/><Relationship Id="rId182" Type="http://schemas.openxmlformats.org/officeDocument/2006/relationships/hyperlink" Target="https://www.openchainproject.org/news/2024/02/28/blackberry-recertification" TargetMode="External"/><Relationship Id="rId181" Type="http://schemas.openxmlformats.org/officeDocument/2006/relationships/hyperlink" Target="https://discourse.ubuntu.com/t/flisol-barraqnuilla-2024-women-in-tech/42772" TargetMode="External"/><Relationship Id="rId180" Type="http://schemas.openxmlformats.org/officeDocument/2006/relationships/hyperlink" Target="https://bnnbreaking.com/world/europe/unlocking-justice-how-europes-courts-are-embracing-open-data-for-transparency" TargetMode="External"/><Relationship Id="rId176" Type="http://schemas.openxmlformats.org/officeDocument/2006/relationships/hyperlink" Target="https://i-pass.co/5kt54m" TargetMode="External"/><Relationship Id="rId297" Type="http://schemas.openxmlformats.org/officeDocument/2006/relationships/hyperlink" Target="https://www.ithome.com.tw/news/163840" TargetMode="External"/><Relationship Id="rId175" Type="http://schemas.openxmlformats.org/officeDocument/2006/relationships/hyperlink" Target="https://news.owlting.com/articles/618030" TargetMode="External"/><Relationship Id="rId296" Type="http://schemas.openxmlformats.org/officeDocument/2006/relationships/hyperlink" Target="https://medtechintelligence.com/feature_article/the-impacts-of-the-eu-data-act-on-medical-and-health-devices-companies/" TargetMode="External"/><Relationship Id="rId174" Type="http://schemas.openxmlformats.org/officeDocument/2006/relationships/hyperlink" Target="https://blogs.oracle.com/developers/post/celebrating-ai-open-source-and-mlops-with-you-at-kubecon-eu-march-1922" TargetMode="External"/><Relationship Id="rId295" Type="http://schemas.openxmlformats.org/officeDocument/2006/relationships/hyperlink" Target="https://science.nasa.gov/mission/tempo/" TargetMode="External"/><Relationship Id="rId173" Type="http://schemas.openxmlformats.org/officeDocument/2006/relationships/hyperlink" Target="https://www.openchainproject.org/news/2024/02/22/coming-soon-openchain-webinar-74" TargetMode="External"/><Relationship Id="rId294" Type="http://schemas.openxmlformats.org/officeDocument/2006/relationships/hyperlink" Target="https://science.nasa.gov/mission/tempo/" TargetMode="External"/><Relationship Id="rId179" Type="http://schemas.openxmlformats.org/officeDocument/2006/relationships/hyperlink" Target="https://www.openchainproject.org/news/2024/02/26/webinar-71" TargetMode="External"/><Relationship Id="rId178" Type="http://schemas.openxmlformats.org/officeDocument/2006/relationships/hyperlink" Target="https://academic.oup.com/grurint/advance-article-abstract/doi/10.1093/grurint/ikae019/7614029" TargetMode="External"/><Relationship Id="rId299" Type="http://schemas.openxmlformats.org/officeDocument/2006/relationships/hyperlink" Target="https://openssf.org/blog/2024/07/03/chainguard-enhances-security-with-osv-advisory-feed/" TargetMode="External"/><Relationship Id="rId177" Type="http://schemas.openxmlformats.org/officeDocument/2006/relationships/hyperlink" Target="https://www.openchainproject.org/webinar/2024/02/14/webinar-59" TargetMode="External"/><Relationship Id="rId298" Type="http://schemas.openxmlformats.org/officeDocument/2006/relationships/hyperlink" Target="https://www.theregister.com/2024/05/29/riscv_messsaging_struggle/" TargetMode="External"/><Relationship Id="rId198" Type="http://schemas.openxmlformats.org/officeDocument/2006/relationships/hyperlink" Target="https://www.bleepingcomputer.com/news/technology/opera-sees-big-jump-in-eu-users-on-ios-android-after-dma-update/" TargetMode="External"/><Relationship Id="rId197" Type="http://schemas.openxmlformats.org/officeDocument/2006/relationships/hyperlink" Target="https://johnjago.com/great-docs/" TargetMode="External"/><Relationship Id="rId196" Type="http://schemas.openxmlformats.org/officeDocument/2006/relationships/hyperlink" Target="https://technews.tw/2024/03/26/facebook-dma/" TargetMode="External"/><Relationship Id="rId195" Type="http://schemas.openxmlformats.org/officeDocument/2006/relationships/hyperlink" Target="https://www.inside.com.tw/article/34544-tung-tzu-hsien-taide-is-important" TargetMode="External"/><Relationship Id="rId199" Type="http://schemas.openxmlformats.org/officeDocument/2006/relationships/hyperlink" Target="https://arstechnica.com/cars/2024/03/gm-stops-sharing-driver-data-with-brokers-amid-backlash/" TargetMode="External"/><Relationship Id="rId150" Type="http://schemas.openxmlformats.org/officeDocument/2006/relationships/hyperlink" Target="https://www.article19.org/resources/malaysia-uphold-international-standards-in-tabling-right-to-information-bill/" TargetMode="External"/><Relationship Id="rId271" Type="http://schemas.openxmlformats.org/officeDocument/2006/relationships/hyperlink" Target="https://www.inside.com.tw/article/35188-meta-use-your-data-train-ai" TargetMode="External"/><Relationship Id="rId392" Type="http://schemas.openxmlformats.org/officeDocument/2006/relationships/hyperlink" Target="https://opensource.org/blog/osi-at-the-united-nations-ospos-for-good" TargetMode="External"/><Relationship Id="rId270" Type="http://schemas.openxmlformats.org/officeDocument/2006/relationships/hyperlink" Target="https://www.inside.com.tw/feature/rmn/35287-what-is-dcr" TargetMode="External"/><Relationship Id="rId391" Type="http://schemas.openxmlformats.org/officeDocument/2006/relationships/hyperlink" Target="https://techcrunch.com/2024/07/31/google-releases-new-open-ai-models-with-a-focus-on-safety/" TargetMode="External"/><Relationship Id="rId390" Type="http://schemas.openxmlformats.org/officeDocument/2006/relationships/hyperlink" Target="https://github.com/OpenChain-Project/Reference-Material/blob/master/Education-For-Suppliers/Supplier-Education-Leaflet/supply-chain-education-leaflet-version-2-2024/supply-chain-education-leaflet-version-2_en.md"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businesstoday.com.tw/article/category/183016/post/202401290039/" TargetMode="External"/><Relationship Id="rId4" Type="http://schemas.openxmlformats.org/officeDocument/2006/relationships/hyperlink" Target="https://www.ithome.com.tw/news/135213" TargetMode="External"/><Relationship Id="rId148" Type="http://schemas.openxmlformats.org/officeDocument/2006/relationships/hyperlink" Target="https://www.ithome.com.tw/news/160933" TargetMode="External"/><Relationship Id="rId269" Type="http://schemas.openxmlformats.org/officeDocument/2006/relationships/hyperlink" Target="https://www.lawfaremedia.org/article/questioning-the-conventional-wisdom-on-liability-and-open-source-software" TargetMode="External"/><Relationship Id="rId9" Type="http://schemas.openxmlformats.org/officeDocument/2006/relationships/hyperlink" Target="https://moda.gov.tw/press/press-releases/372" TargetMode="External"/><Relationship Id="rId143" Type="http://schemas.openxmlformats.org/officeDocument/2006/relationships/hyperlink" Target="https://tw.news.yahoo.com/%E5%A4%A7%E9%87%8Fai%E5%81%BD%E9%80%A0%E5%BD%B1%E9%9F%B3%E6%8A%B9%E9%BB%91%E8%94%A1%E7%B8%BD%E7%B5%B1-%E5%9C%8B%E5%AE%89%E4%BA%BA%E5%A3%AB-%E4%B8%AD%E5%9C%8B%E7%B6%B2%E8%BB%8D%E6%BC%94%E7%B7%B4-050806432.html" TargetMode="External"/><Relationship Id="rId264" Type="http://schemas.openxmlformats.org/officeDocument/2006/relationships/hyperlink" Target="https://openssf.org/blog/2024/04/15/open-source-security-openssf-and-openjs-foundations-issue-alert-for-social-engineering-takeovers-of-open-source-projects/" TargetMode="External"/><Relationship Id="rId385" Type="http://schemas.openxmlformats.org/officeDocument/2006/relationships/hyperlink" Target="https://www.ithome.com.tw/news/163991" TargetMode="External"/><Relationship Id="rId142" Type="http://schemas.openxmlformats.org/officeDocument/2006/relationships/hyperlink" Target="https://agora0.gitlab.io/blog/matters/2024/01/01/MATTERS-gijc2023-%E5%85%A8%E7%90%83%E8%AA%BF%E6%9F%A5%E8%A8%98%E8%80%85%E5%B9%B4%E6%9C%83.html" TargetMode="External"/><Relationship Id="rId263" Type="http://schemas.openxmlformats.org/officeDocument/2006/relationships/hyperlink" Target="https://www.zdnet.com/article/ibm-open-sources-its-granite-ai-models-and-they-mean-business/" TargetMode="External"/><Relationship Id="rId384" Type="http://schemas.openxmlformats.org/officeDocument/2006/relationships/hyperlink" Target="https://overturemaps.org/overture-maps-foundation-releases-general-availability-of-its-open-maps-datasets/" TargetMode="External"/><Relationship Id="rId141" Type="http://schemas.openxmlformats.org/officeDocument/2006/relationships/hyperlink" Target="https://n.yam.com/Article/20231229915851" TargetMode="External"/><Relationship Id="rId262" Type="http://schemas.openxmlformats.org/officeDocument/2006/relationships/hyperlink" Target="https://www.inside.com.tw/article/35269-adobe-firefly-copyright-issue" TargetMode="External"/><Relationship Id="rId383" Type="http://schemas.openxmlformats.org/officeDocument/2006/relationships/hyperlink" Target="https://www.ithome.com.tw/news/164101" TargetMode="External"/><Relationship Id="rId140" Type="http://schemas.openxmlformats.org/officeDocument/2006/relationships/hyperlink" Target="https://n.yam.com/Article/20231228562149" TargetMode="External"/><Relationship Id="rId261" Type="http://schemas.openxmlformats.org/officeDocument/2006/relationships/hyperlink" Target="https://venturebeat.com/ai/ceding-control-how-copilot-and-pcs-could-make-enterprises-beholden-to-microsoft/" TargetMode="External"/><Relationship Id="rId382" Type="http://schemas.openxmlformats.org/officeDocument/2006/relationships/hyperlink" Target="https://www.ithome.com.tw/news/164063" TargetMode="External"/><Relationship Id="rId5" Type="http://schemas.openxmlformats.org/officeDocument/2006/relationships/hyperlink" Target="https://www.ey.gov.tw/Page/9277F759E41CCD91/bb1dd1b5-f098-4ed0-8e88-8ab2e9764a03" TargetMode="External"/><Relationship Id="rId147" Type="http://schemas.openxmlformats.org/officeDocument/2006/relationships/hyperlink" Target="https://moda.gov.tw/press/multimedia/blog/10279" TargetMode="External"/><Relationship Id="rId268" Type="http://schemas.openxmlformats.org/officeDocument/2006/relationships/hyperlink" Target="https://www.inside.com.tw/article/35251-siganl-gen-ai-privacy" TargetMode="External"/><Relationship Id="rId389" Type="http://schemas.openxmlformats.org/officeDocument/2006/relationships/hyperlink" Target="https://openchainproject.org/news/2024/07/30/managing-your-open-source-software-supply-chain-2nd" TargetMode="External"/><Relationship Id="rId6" Type="http://schemas.openxmlformats.org/officeDocument/2006/relationships/hyperlink" Target="https://www.chinatimes.com/newspapers/20230103000091-260202?chdtv" TargetMode="External"/><Relationship Id="rId146" Type="http://schemas.openxmlformats.org/officeDocument/2006/relationships/hyperlink" Target="https://vocus.cc/article/65aa3cdafd897800017fdf50" TargetMode="External"/><Relationship Id="rId267" Type="http://schemas.openxmlformats.org/officeDocument/2006/relationships/hyperlink" Target="https://www.theregister.com/2024/04/30/bruce_perens_post_open_license/" TargetMode="External"/><Relationship Id="rId388" Type="http://schemas.openxmlformats.org/officeDocument/2006/relationships/hyperlink" Target="https://techcrunch.com/2024/06/25/coder-nabs-new-funds-to-move-dev-environments-to-the-cloud/" TargetMode="External"/><Relationship Id="rId7" Type="http://schemas.openxmlformats.org/officeDocument/2006/relationships/hyperlink" Target="https://www.google.com/search?q=%E9%AB%98%E5%83%B9%E5%80%BC%E8%B3%87%E6%96%99+%E6%94%BF%E5%BA%9C%E8%B3%87%E6%96%99&amp;client=firefox-b-d&amp;biw=1792&amp;bih=982&amp;tbm=nws&amp;ei=9vukZIXSKo3M-QaPnrLIBg&amp;oq=%E9%AB%98%E5%83%B9%E5%80%BC%E8%B3%87%E6%96%99+%E6%94%BF%E5%BA%9C&amp;gs_lcp=Cgxnd3Mtd2l6LW5ld3MQAxgAMgUIIRCgAToFCAAQogRQgwFYnyhglzdoBnAAeACAAecBiAGpB5IBBTUuMS4ymAEAoAEBwAEB&amp;sclient=gws-wiz-news" TargetMode="External"/><Relationship Id="rId145" Type="http://schemas.openxmlformats.org/officeDocument/2006/relationships/hyperlink" Target="https://tw.stock.yahoo.com/news/%E6%A5%AD%E7%95%8C%E9%A6%96%E5%89%B5-%E7%AC%AC-%E9%87%91%E6%8E%A8esg%E5%9C%B0%E5%9C%96%E5%B7%A5%E5%85%B7%E9%9F%BF%E6%87%89%E6%B7%A8%E9%9B%B6%E8%BD%89%E5%9E%8B-123722867.html" TargetMode="External"/><Relationship Id="rId266" Type="http://schemas.openxmlformats.org/officeDocument/2006/relationships/hyperlink" Target="https://www.twreporter.org/a/opinion-telecommunication-information-privacy" TargetMode="External"/><Relationship Id="rId387" Type="http://schemas.openxmlformats.org/officeDocument/2006/relationships/hyperlink" Target="https://apnews.com/article/brazil-tech-meta-privacy-data-93e00b2e0e26f7cc98795dd052aea8e1" TargetMode="External"/><Relationship Id="rId8" Type="http://schemas.openxmlformats.org/officeDocument/2006/relationships/hyperlink" Target="https://moda.gov.tw/press/press-releases/3301" TargetMode="External"/><Relationship Id="rId144" Type="http://schemas.openxmlformats.org/officeDocument/2006/relationships/hyperlink" Target="https://www.cdnnews.com.tw/articles/943017" TargetMode="External"/><Relationship Id="rId265" Type="http://schemas.openxmlformats.org/officeDocument/2006/relationships/hyperlink" Target="https://boehs.org/node/bountysource" TargetMode="External"/><Relationship Id="rId386" Type="http://schemas.openxmlformats.org/officeDocument/2006/relationships/hyperlink" Target="https://openssf.org/blog/2024/07/31/neo-malware-malicious-open-source-packages/" TargetMode="External"/><Relationship Id="rId260" Type="http://schemas.openxmlformats.org/officeDocument/2006/relationships/hyperlink" Target="https://zpravy.kurzy.cz/768735-commission-calls-on-18-member-states-to-comply-with-the-eu-data-governance-act/" TargetMode="External"/><Relationship Id="rId381" Type="http://schemas.openxmlformats.org/officeDocument/2006/relationships/hyperlink" Target="https://www.ithome.com.tw/news/164109" TargetMode="External"/><Relationship Id="rId380" Type="http://schemas.openxmlformats.org/officeDocument/2006/relationships/hyperlink" Target="https://cacm.acm.org/practice/free-and-open-source-software-and-other-market-failures/" TargetMode="External"/><Relationship Id="rId139" Type="http://schemas.openxmlformats.org/officeDocument/2006/relationships/hyperlink" Target="https://www.cht.com.tw/zh-tw/home/cht/messages/2023/1228-1650?year=2023&amp;month=12&amp;category=86F3795F01B14D7FADFD148D9FC695EA&amp;list=%7B8DAECF69-AEF0-4F1B-B066-3306E547C0CC%7D" TargetMode="External"/><Relationship Id="rId138" Type="http://schemas.openxmlformats.org/officeDocument/2006/relationships/hyperlink" Target="https://n.yam.com/Article/20231226668714" TargetMode="External"/><Relationship Id="rId259" Type="http://schemas.openxmlformats.org/officeDocument/2006/relationships/hyperlink" Target="https://indiaeducationdiary.in/the-world-bank-to-support-bulgaria-on-data-governance/" TargetMode="External"/><Relationship Id="rId137" Type="http://schemas.openxmlformats.org/officeDocument/2006/relationships/hyperlink" Target="https://ocacnews.net/article/358188" TargetMode="External"/><Relationship Id="rId258" Type="http://schemas.openxmlformats.org/officeDocument/2006/relationships/hyperlink" Target="https://knews.kathimerini.com.cy/en/news/eu-warns-cyprus-on-15-business-tax-compliance" TargetMode="External"/><Relationship Id="rId379" Type="http://schemas.openxmlformats.org/officeDocument/2006/relationships/hyperlink" Target="https://techcrunch.com/2024/07/15/google-backs-indian-open-source-uber-rival-namma-yatri/" TargetMode="External"/><Relationship Id="rId132" Type="http://schemas.openxmlformats.org/officeDocument/2006/relationships/hyperlink" Target="https://ctinews.com/news/items/q9WPNNlQxm" TargetMode="External"/><Relationship Id="rId253" Type="http://schemas.openxmlformats.org/officeDocument/2006/relationships/hyperlink" Target="https://www.insideprivacy.com/artificial-intelligence/italy-proposes-new-artificial-intelligence-law/" TargetMode="External"/><Relationship Id="rId374" Type="http://schemas.openxmlformats.org/officeDocument/2006/relationships/hyperlink" Target="https://openchainproject.org/unlisted/2024/07/17/case-study-implementing-the-openchain-specification-endjin" TargetMode="External"/><Relationship Id="rId495" Type="http://schemas.openxmlformats.org/officeDocument/2006/relationships/hyperlink" Target="https://www.axios.com/2024/08/13/darpa-ai-cyber-challenge-def-con" TargetMode="External"/><Relationship Id="rId131" Type="http://schemas.openxmlformats.org/officeDocument/2006/relationships/hyperlink" Target="https://www.cna.com.tw/postwrite/chi/360283" TargetMode="External"/><Relationship Id="rId252" Type="http://schemas.openxmlformats.org/officeDocument/2006/relationships/hyperlink" Target="https://tourstats.taichung.gov.tw/CrossAna/index" TargetMode="External"/><Relationship Id="rId373" Type="http://schemas.openxmlformats.org/officeDocument/2006/relationships/hyperlink" Target="https://opensource.org/blog/cailean-osborne-voices-of-the-open-source-ai-definition" TargetMode="External"/><Relationship Id="rId494" Type="http://schemas.openxmlformats.org/officeDocument/2006/relationships/hyperlink" Target="https://opensource.org/blog/highlights-from-our-participation-at-open-source-congress-2024" TargetMode="External"/><Relationship Id="rId130" Type="http://schemas.openxmlformats.org/officeDocument/2006/relationships/hyperlink" Target="https://www.gvm.com.tw/article/108490" TargetMode="External"/><Relationship Id="rId251" Type="http://schemas.openxmlformats.org/officeDocument/2006/relationships/hyperlink" Target="https://tw.news.yahoo.com/%E7%8E%8B%E7%BE%A9%E5%B7%9D%E8%B2%BC3%E5%BC%B5-%E5%8F%B0%E4%B8%AD%E9%81%8A%E5%AE%A2%E5%88%86%E6%9E%90%E5%9C%96-%E6%B4%97%E9%9B%BB%E4%BF%A1%E7%9B%A3%E6%8E%A7%E7%96%91%E9%9B%B2-%E4%B8%AD%E5%B8%82%E5%BA%9C%E4%B8%8D%E8%83%8C%E6%9B%B8-%E5%9D%87%E9%96%8B%E6%94%BE%E6%95%B8%E6%93%9A-105600802.html" TargetMode="External"/><Relationship Id="rId372" Type="http://schemas.openxmlformats.org/officeDocument/2006/relationships/hyperlink" Target="https://opensource.org/deepdive/drafts/the-open-source-ai-definition-draft-v-0-0-8" TargetMode="External"/><Relationship Id="rId493" Type="http://schemas.openxmlformats.org/officeDocument/2006/relationships/hyperlink" Target="https://www.phoronix.com/news/AMD-ZLUDA-CUDA-Taken-Down" TargetMode="External"/><Relationship Id="rId250" Type="http://schemas.openxmlformats.org/officeDocument/2006/relationships/hyperlink" Target="https://www.ithome.com.tw/article/163107" TargetMode="External"/><Relationship Id="rId371" Type="http://schemas.openxmlformats.org/officeDocument/2006/relationships/hyperlink" Target="https://www.ithome.com.tw/news/164032" TargetMode="External"/><Relationship Id="rId492" Type="http://schemas.openxmlformats.org/officeDocument/2006/relationships/hyperlink" Target="http://phoronix.com/" TargetMode="External"/><Relationship Id="rId136" Type="http://schemas.openxmlformats.org/officeDocument/2006/relationships/hyperlink" Target="https://www.cna.com.tw/postwrite/chi/360443" TargetMode="External"/><Relationship Id="rId257" Type="http://schemas.openxmlformats.org/officeDocument/2006/relationships/hyperlink" Target="https://www.zdnet.fr/actualites/loi-sren-larcep-surveillera-le-cloud-392043.htm" TargetMode="External"/><Relationship Id="rId378" Type="http://schemas.openxmlformats.org/officeDocument/2006/relationships/hyperlink" Target="https://words.filippo.io/dispatches/geomys/" TargetMode="External"/><Relationship Id="rId499" Type="http://schemas.openxmlformats.org/officeDocument/2006/relationships/hyperlink" Target="https://www.opensourceforu.com/2024/09/open-source-providing-pathways-to-professional-growth/" TargetMode="External"/><Relationship Id="rId135" Type="http://schemas.openxmlformats.org/officeDocument/2006/relationships/hyperlink" Target="https://www.cna.com.tw/postwrite/chi/360377" TargetMode="External"/><Relationship Id="rId256" Type="http://schemas.openxmlformats.org/officeDocument/2006/relationships/hyperlink" Target="https://iapp.org/news/a/european-health-data-space-revolutionizing-health-care-scientific-research-in-the-eu" TargetMode="External"/><Relationship Id="rId377" Type="http://schemas.openxmlformats.org/officeDocument/2006/relationships/hyperlink" Target="https://www.jwz.org/blog/2024/06/mozillas-original-sin/" TargetMode="External"/><Relationship Id="rId498" Type="http://schemas.openxmlformats.org/officeDocument/2006/relationships/hyperlink" Target="https://techcrunch.com/2024/09/05/all-hands-ai-raises-5m-to-build-open-source-agents-for-developers/" TargetMode="External"/><Relationship Id="rId134" Type="http://schemas.openxmlformats.org/officeDocument/2006/relationships/hyperlink" Target="https://tw.news.yahoo.com/%E7%AB%B9%E7%B8%A3-%E5%B0%B1%E8%81%B75%E5%91%A8%E5%B9%B4-%E6%A5%8A%E6%96%87%E7%A7%91%E8%88%87%E5%8F%B0%E5%A4%A7%E7%B0%BDmou-201000988.html" TargetMode="External"/><Relationship Id="rId255" Type="http://schemas.openxmlformats.org/officeDocument/2006/relationships/hyperlink" Target="https://www.gazetaprawna.pl/firma-i-prawo/artykuly/9515703,zarzuty-dla-polski-za-brak-przepisow-ulatwiajacych-wymiane-danych.html" TargetMode="External"/><Relationship Id="rId376" Type="http://schemas.openxmlformats.org/officeDocument/2006/relationships/hyperlink" Target="https://techcrunch.com/2024/06/22/what-does-open-source-ai-mean-anyway/" TargetMode="External"/><Relationship Id="rId497" Type="http://schemas.openxmlformats.org/officeDocument/2006/relationships/hyperlink" Target="https://www.linuxfoundation.org/research/software-security-education-study" TargetMode="External"/><Relationship Id="rId133" Type="http://schemas.openxmlformats.org/officeDocument/2006/relationships/hyperlink" Target="http://shuj.shu.edu.tw/blog/2023/12/22/%E9%BB%83%E7%89%9B%E7%A5%A8%E7%8C%96%E7%8D%97-%E5%AE%98%E6%B0%91%E5%90%88%E4%BD%9C%E6%89%93%E6%93%8A%E4%B8%8D%E7%95%B6%E7%8D%B2%E5%88%A9/" TargetMode="External"/><Relationship Id="rId254" Type="http://schemas.openxmlformats.org/officeDocument/2006/relationships/hyperlink" Target="https://groups.google.com/a/ocf.tw/g/opentechnews/c/GY2jsTOrLZc" TargetMode="External"/><Relationship Id="rId375" Type="http://schemas.openxmlformats.org/officeDocument/2006/relationships/hyperlink" Target="https://endjin.com/what-we-think/talks/implementing-openchain-iso-iec-5230-and-iso-iec-18974" TargetMode="External"/><Relationship Id="rId496" Type="http://schemas.openxmlformats.org/officeDocument/2006/relationships/hyperlink" Target="https://openssf.org/blog/2024/09/04/prioritizing-security-key-findings-from-the-openssf-survey-for-financial-institutions/" TargetMode="External"/><Relationship Id="rId172" Type="http://schemas.openxmlformats.org/officeDocument/2006/relationships/hyperlink" Target="https://www.openchainproject.org/featured/2024/02/21/openchain-monthly-north-america-asia-2024-02-20-full-recording" TargetMode="External"/><Relationship Id="rId293" Type="http://schemas.openxmlformats.org/officeDocument/2006/relationships/hyperlink" Target="https://asteriskmag.com/issues/06/how-to-make-a-great-government-website" TargetMode="External"/><Relationship Id="rId171" Type="http://schemas.openxmlformats.org/officeDocument/2006/relationships/hyperlink" Target="https://www.openchainproject.org/news/2024/02/09/openchain-export-control-work-group-meeting-2024-02-08-full-recording" TargetMode="External"/><Relationship Id="rId292" Type="http://schemas.openxmlformats.org/officeDocument/2006/relationships/hyperlink" Target="https://www.techcentral.ie/national-data-governance-roadmap-revealed-at-ivi-summit-in-maynooth/" TargetMode="External"/><Relationship Id="rId170" Type="http://schemas.openxmlformats.org/officeDocument/2006/relationships/hyperlink" Target="https://n.yam.com/Article/20240222815602" TargetMode="External"/><Relationship Id="rId291" Type="http://schemas.openxmlformats.org/officeDocument/2006/relationships/hyperlink" Target="https://www.theinformation.com/articles/californias-flawed-effort-to-regulate-ai" TargetMode="External"/><Relationship Id="rId290" Type="http://schemas.openxmlformats.org/officeDocument/2006/relationships/hyperlink" Target="https://www.maddyness.com/2024/06/12/comment-la-reglementation-europeenne-favorise-t-elle-les-startups-de-lia/" TargetMode="External"/><Relationship Id="rId165" Type="http://schemas.openxmlformats.org/officeDocument/2006/relationships/hyperlink" Target="https://www.openculture.com/2024/02/a-web-site-that-lets-you-find-your-home-address-on-pangaea.html" TargetMode="External"/><Relationship Id="rId286" Type="http://schemas.openxmlformats.org/officeDocument/2006/relationships/hyperlink" Target="https://techcrunch.com/2024/05/29/with-the-eu-ai-act-incoming-this-summer-the-bloc-lays-out-its-plan-for-ai-governance/" TargetMode="External"/><Relationship Id="rId164" Type="http://schemas.openxmlformats.org/officeDocument/2006/relationships/hyperlink" Target="https://www.ndc.gov.tw/Content_List.aspx?n=0C5AB1D0FA5B64B8" TargetMode="External"/><Relationship Id="rId285" Type="http://schemas.openxmlformats.org/officeDocument/2006/relationships/hyperlink" Target="https://buzzorange.com/techorange/2024/06/26/reddit-update-web-standard-block-automated-website-scraping/" TargetMode="External"/><Relationship Id="rId163" Type="http://schemas.openxmlformats.org/officeDocument/2006/relationships/hyperlink" Target="https://digital-strategy.ec.europa.eu/en/policies/digital-services-act-package" TargetMode="External"/><Relationship Id="rId284" Type="http://schemas.openxmlformats.org/officeDocument/2006/relationships/hyperlink" Target="https://techcrunch.com/2024/05/29/jfrog-and-github-team-up-to-closely-integrate-their-source-code-and-binary-platforms/" TargetMode="External"/><Relationship Id="rId162" Type="http://schemas.openxmlformats.org/officeDocument/2006/relationships/hyperlink" Target="https://quifinanza.it/innovazione/digital-service-act-applicazione/793859/" TargetMode="External"/><Relationship Id="rId283" Type="http://schemas.openxmlformats.org/officeDocument/2006/relationships/hyperlink" Target="https://techcrunch.com/2024/06/04/databricks-acquires-tabular-to-build-a-common-data-lakehouse-standard/" TargetMode="External"/><Relationship Id="rId169" Type="http://schemas.openxmlformats.org/officeDocument/2006/relationships/hyperlink" Target="https://www.slideshare.net/slideshows/openchain-ai-study-group-north-america-and-europe-20240220/266417200" TargetMode="External"/><Relationship Id="rId168" Type="http://schemas.openxmlformats.org/officeDocument/2006/relationships/hyperlink" Target="https://www.openchainproject.org/news/2024/02/21/openchain-ai-study-group-2024-02-20-recording" TargetMode="External"/><Relationship Id="rId289" Type="http://schemas.openxmlformats.org/officeDocument/2006/relationships/hyperlink" Target="https://www.lexology.com/library/detail.aspx?g=927f6daf-a4fe-4d79-9fcf-87621954287a" TargetMode="External"/><Relationship Id="rId167" Type="http://schemas.openxmlformats.org/officeDocument/2006/relationships/hyperlink" Target="https://blog.coscup.org/2024/02/coscup-2024-early-bird-call-for.html" TargetMode="External"/><Relationship Id="rId288" Type="http://schemas.openxmlformats.org/officeDocument/2006/relationships/hyperlink" Target="https://foundation.mozilla.org/en/blog/new-research-the-risks-and-rewards-of-data-for-indias-265-million-students/" TargetMode="External"/><Relationship Id="rId166" Type="http://schemas.openxmlformats.org/officeDocument/2006/relationships/hyperlink" Target="https://dinosaurpictures.org/ancient-earth" TargetMode="External"/><Relationship Id="rId287" Type="http://schemas.openxmlformats.org/officeDocument/2006/relationships/hyperlink" Target="https://www.scmp.com/news/china/science/article/3265493/scientists-find-security-risk-risc-v-open-source-chip-architecture-china-hopes-can-help-sidestep-us" TargetMode="External"/><Relationship Id="rId161" Type="http://schemas.openxmlformats.org/officeDocument/2006/relationships/hyperlink" Target="https://opencollective.com/ubucon-na/events/ubucon-north-america-2024-8919b284" TargetMode="External"/><Relationship Id="rId282" Type="http://schemas.openxmlformats.org/officeDocument/2006/relationships/hyperlink" Target="https://buzzorange.com/techorange/2024/06/19/the-framework-laptop-13-is-about-to-become-one-of-the-worlds-first-risc-v-laptops/" TargetMode="External"/><Relationship Id="rId160" Type="http://schemas.openxmlformats.org/officeDocument/2006/relationships/hyperlink" Target="https://azurealliance.org/" TargetMode="External"/><Relationship Id="rId281" Type="http://schemas.openxmlformats.org/officeDocument/2006/relationships/hyperlink" Target="https://buzzorange.com/techorange/2024/06/17/meta-pauses-plans-to-train-ai-using-european-users-data-bowing-to-regulatory-pressure/" TargetMode="External"/><Relationship Id="rId280" Type="http://schemas.openxmlformats.org/officeDocument/2006/relationships/hyperlink" Target="https://medium.com/opendatacharter/open-data-and-climate-change-experiences-from-the-americas-7e4187b89f4c" TargetMode="External"/><Relationship Id="rId159" Type="http://schemas.openxmlformats.org/officeDocument/2006/relationships/hyperlink" Target="https://news.cts.com.tw/cna/money/202402/202402142286543.html" TargetMode="External"/><Relationship Id="rId154" Type="http://schemas.openxmlformats.org/officeDocument/2006/relationships/hyperlink" Target="https://www.facebook.com/story.php?story_fbid=412724947954378&amp;id=100076506270303&amp;mibextid=oFDknk" TargetMode="External"/><Relationship Id="rId275" Type="http://schemas.openxmlformats.org/officeDocument/2006/relationships/hyperlink" Target="https://buzzorange.com/techorange/2024/05/20/slack-under-attack-over-sneaky-ai-training-policy/" TargetMode="External"/><Relationship Id="rId396" Type="http://schemas.openxmlformats.org/officeDocument/2006/relationships/hyperlink" Target="https://www.zdnet.com/article/meta-inches-toward-open-source-ai-with-new-llama-3-1/" TargetMode="External"/><Relationship Id="rId153" Type="http://schemas.openxmlformats.org/officeDocument/2006/relationships/hyperlink" Target="https://www.slideshare.net/slideshows/openchain-webinar-58-foss-license-management-through-aliens4friends-in-eclipse-oniro/266006035" TargetMode="External"/><Relationship Id="rId274" Type="http://schemas.openxmlformats.org/officeDocument/2006/relationships/hyperlink" Target="https://www.inoreader.com/article/3a9c6e741a361467-signal-ai" TargetMode="External"/><Relationship Id="rId395" Type="http://schemas.openxmlformats.org/officeDocument/2006/relationships/hyperlink" Target="https://www.theverge.com/2024/6/25/24185467/microsoft-teams-eu-bundling-antitrust-violations" TargetMode="External"/><Relationship Id="rId152" Type="http://schemas.openxmlformats.org/officeDocument/2006/relationships/hyperlink" Target="https://www.openchainproject.org/webinar/2024/01/31/openchain-webinar-58" TargetMode="External"/><Relationship Id="rId273" Type="http://schemas.openxmlformats.org/officeDocument/2006/relationships/hyperlink" Target="https://www.rules.senate.gov/imo/media/doc/s3875chairwomansmark.pdf" TargetMode="External"/><Relationship Id="rId394" Type="http://schemas.openxmlformats.org/officeDocument/2006/relationships/hyperlink" Target="https://www.theverge.com/2024/6/24/24184629/apple-dma-steering-infringement-ruling" TargetMode="External"/><Relationship Id="rId151" Type="http://schemas.openxmlformats.org/officeDocument/2006/relationships/hyperlink" Target="mailto:ian@ocf.tw" TargetMode="External"/><Relationship Id="rId272" Type="http://schemas.openxmlformats.org/officeDocument/2006/relationships/hyperlink" Target="https://www.theverge.com/2024/5/15/24157328/senate-rules-committee-ai-election-safeguards-bills" TargetMode="External"/><Relationship Id="rId393" Type="http://schemas.openxmlformats.org/officeDocument/2006/relationships/hyperlink" Target="https://openssf.org/blog/2024/07/24/soss-fusion-2024-cfp-results-a-look-at-our-diverse-and-engaging-program/" TargetMode="External"/><Relationship Id="rId158" Type="http://schemas.openxmlformats.org/officeDocument/2006/relationships/hyperlink" Target="https://discourse.ubuntu.com/t/ubuntu-fossasia-summit-2024/42180" TargetMode="External"/><Relationship Id="rId279" Type="http://schemas.openxmlformats.org/officeDocument/2006/relationships/hyperlink" Target="https://www.nature.com/articles/d41586-024-01493-8" TargetMode="External"/><Relationship Id="rId157" Type="http://schemas.openxmlformats.org/officeDocument/2006/relationships/hyperlink" Target="https://ec.ltn.com.tw/article/breakingnews/4570681" TargetMode="External"/><Relationship Id="rId278" Type="http://schemas.openxmlformats.org/officeDocument/2006/relationships/hyperlink" Target="https://www.nature.com/articles/d41586-024-02012-5" TargetMode="External"/><Relationship Id="rId399" Type="http://schemas.openxmlformats.org/officeDocument/2006/relationships/hyperlink" Target="https://www.zdnet.com/article/switzerland-now-requires-all-government-software-to-be-open-source/" TargetMode="External"/><Relationship Id="rId156" Type="http://schemas.openxmlformats.org/officeDocument/2006/relationships/hyperlink" Target="https://n.yam.com/Article/20240201697240" TargetMode="External"/><Relationship Id="rId277" Type="http://schemas.openxmlformats.org/officeDocument/2006/relationships/hyperlink" Target="https://github.blog/2024-05-23-2024-github-accelerator-meet-the-11-projects-shaping-open-source-ai/" TargetMode="External"/><Relationship Id="rId398" Type="http://schemas.openxmlformats.org/officeDocument/2006/relationships/hyperlink" Target="https://www.theregister.com/2024/07/15/opinion_open_source_attract_devs/" TargetMode="External"/><Relationship Id="rId155" Type="http://schemas.openxmlformats.org/officeDocument/2006/relationships/hyperlink" Target="https://github.com/I-S00N/I-S00N/" TargetMode="External"/><Relationship Id="rId276" Type="http://schemas.openxmlformats.org/officeDocument/2006/relationships/hyperlink" Target="https://www.bnext.com.tw/article/79344/shutterstock-ai-licensing" TargetMode="External"/><Relationship Id="rId397" Type="http://schemas.openxmlformats.org/officeDocument/2006/relationships/hyperlink" Target="https://developer.nvidia.com/blog/nvidia-transitions-fully-towards-open-source-gpu-kernel-modules/" TargetMode="External"/><Relationship Id="rId40" Type="http://schemas.openxmlformats.org/officeDocument/2006/relationships/hyperlink" Target="https://www.ithome.com.tw/news/157970" TargetMode="External"/><Relationship Id="rId42" Type="http://schemas.openxmlformats.org/officeDocument/2006/relationships/hyperlink" Target="https://www.cna.com.tw/news/aopl/202307150159.aspx" TargetMode="External"/><Relationship Id="rId41" Type="http://schemas.openxmlformats.org/officeDocument/2006/relationships/hyperlink" Target="https://health.ltn.com.tw/article/breakingnews/4378823" TargetMode="External"/><Relationship Id="rId44" Type="http://schemas.openxmlformats.org/officeDocument/2006/relationships/hyperlink" Target="https://www.techbang.com/posts/108174-the-third-phase-of-open-banking-is-coming-and-it-will-be-on" TargetMode="External"/><Relationship Id="rId43" Type="http://schemas.openxmlformats.org/officeDocument/2006/relationships/hyperlink" Target="https://money.udn.com/money/story/5612/7346582" TargetMode="External"/><Relationship Id="rId46" Type="http://schemas.openxmlformats.org/officeDocument/2006/relationships/hyperlink" Target="https://www.blocktempo.com/worldcoin-cryptocurrency-project-suspended-in-kenya/" TargetMode="External"/><Relationship Id="rId45" Type="http://schemas.openxmlformats.org/officeDocument/2006/relationships/hyperlink" Target="https://tw.news.yahoo.com/%E9%AB%98%E5%B8%82-%E6%94%AF%E4%BB%98%E5%9C%A8%E6%89%8B-%E4%B8%B2%E8%B5%B7%E6%99%BA%E6%85%A7%E7%94%9F%E6%B4%BB-%E9%BB%91%E5%AE%A2%E6%9D%BE%E7%AB%B6%E8%B3%BD-%E5%8D%B3%E6%97%A5%E8%B5%B7%E9%96%8B%E6%94%BE%E5%BE%B5%E4%BB%B6-112311746.html" TargetMode="External"/><Relationship Id="rId509" Type="http://schemas.openxmlformats.org/officeDocument/2006/relationships/hyperlink" Target="https://bellingcat.github.io/RS4OSINT/A2_Remote_Sensing.html" TargetMode="External"/><Relationship Id="rId508" Type="http://schemas.openxmlformats.org/officeDocument/2006/relationships/hyperlink" Target="https://www.bellingcat.com/resources/how-tos/2024/08/30/marine-oil-spill-detection-guide/" TargetMode="External"/><Relationship Id="rId503" Type="http://schemas.openxmlformats.org/officeDocument/2006/relationships/hyperlink" Target="https://openchainproject.org/featured/2024/09/15/nokia-announces-adoption-of-iso-iec-52302020" TargetMode="External"/><Relationship Id="rId502" Type="http://schemas.openxmlformats.org/officeDocument/2006/relationships/hyperlink" Target="https://news.ycombinator.com/item?id=41486565" TargetMode="External"/><Relationship Id="rId501" Type="http://schemas.openxmlformats.org/officeDocument/2006/relationships/hyperlink" Target="https://www.inoreader.com/article/3a9c6e745f035f42-getty-images-ai" TargetMode="External"/><Relationship Id="rId500" Type="http://schemas.openxmlformats.org/officeDocument/2006/relationships/hyperlink" Target="https://www.inside.com.tw/article/36153-hyperwrite-launches-reflection70b" TargetMode="External"/><Relationship Id="rId507" Type="http://schemas.openxmlformats.org/officeDocument/2006/relationships/hyperlink" Target="https://www.opensourceforu.com/2024/09/the-best-open-source-platforms-for-no-code-development/" TargetMode="External"/><Relationship Id="rId506" Type="http://schemas.openxmlformats.org/officeDocument/2006/relationships/hyperlink" Target="https://www.technologyreview.com/2024/08/22/1097224/we-finally-have-a-definition-for-open-source-ai" TargetMode="External"/><Relationship Id="rId505" Type="http://schemas.openxmlformats.org/officeDocument/2006/relationships/hyperlink" Target="https://www.ithome.com.tw/news/164940" TargetMode="External"/><Relationship Id="rId504" Type="http://schemas.openxmlformats.org/officeDocument/2006/relationships/hyperlink" Target="https://techcrunch.com/2024/09/19/brightband-sees-a-bright-and-open-source-future-for-ai-powered-weather-forecasting/" TargetMode="External"/><Relationship Id="rId48" Type="http://schemas.openxmlformats.org/officeDocument/2006/relationships/hyperlink" Target="https://ocacnews.net/article/349077" TargetMode="External"/><Relationship Id="rId47" Type="http://schemas.openxmlformats.org/officeDocument/2006/relationships/hyperlink" Target="https://www.ey.gov.tw/Page/9277F759E41CCD91/3de644bb-960e-452b-a515-4f373f5ff585" TargetMode="External"/><Relationship Id="rId49" Type="http://schemas.openxmlformats.org/officeDocument/2006/relationships/hyperlink" Target="https://n.yam.com/Article/20230903752716" TargetMode="External"/><Relationship Id="rId31" Type="http://schemas.openxmlformats.org/officeDocument/2006/relationships/hyperlink" Target="https://www.google.com/search?q=%E6%94%BF%E5%BA%9C%E8%B3%87%E6%96%99%E9%96%8B%E6%94%BE&amp;newwindow=1&amp;tbm=nws&amp;sxsrf=AB5stBg11k4_TMVuAj0g8JflrjEhpvYZVg:1688536588889&amp;source=lnt&amp;tbs=qdr:m&amp;sa=X&amp;ved=2ahUKEwjAyMb88Pb_AhXPsVYBHdLWD_YQpwV6BAgBEAo&amp;biw=1744&amp;bih=1016&amp;dpr=2" TargetMode="External"/><Relationship Id="rId30" Type="http://schemas.openxmlformats.org/officeDocument/2006/relationships/hyperlink" Target="https://tw.news.yahoo.com/%E6%95%B8%E6%93%9A%E9%A9%85%E5%8B%95%E9%98%B2%E7%81%BD%E5%89%B5%E6%96%B0-%E6%B0%B4%E4%BF%9D%E5%B1%80%E5%B7%A8%E9%87%8F%E7%A9%BA%E9%96%93%E8%B3%87%E8%A8%8A%E7%B3%BB%E7%B5%B1%E7%8D%B2%E9%87%91%E5%9C%96%E7%8D%8E%E9%9B%99%E6%96%99%E6%AE%8A%E6%A6%AE-092328031.html" TargetMode="External"/><Relationship Id="rId33" Type="http://schemas.openxmlformats.org/officeDocument/2006/relationships/hyperlink" Target="https://www.google.com/search?q=%E6%94%BF%E5%BA%9C%E8%B3%87%E6%96%99%E9%96%8B%E6%94%BE&amp;newwindow=1&amp;tbm=nws&amp;sxsrf=AB5stBg11k4_TMVuAj0g8JflrjEhpvYZVg:1688536588889&amp;source=lnt&amp;tbs=qdr:m&amp;sa=X&amp;ved=2ahUKEwjAyMb88Pb_AhXPsVYBHdLWD_YQpwV6BAgBEAo&amp;biw=1744&amp;bih=1016&amp;dpr=2" TargetMode="External"/><Relationship Id="rId32" Type="http://schemas.openxmlformats.org/officeDocument/2006/relationships/hyperlink" Target="https://886.news/archives/121353" TargetMode="External"/><Relationship Id="rId35" Type="http://schemas.openxmlformats.org/officeDocument/2006/relationships/hyperlink" Target="https://health.udn.com/health/story/122421/7351829" TargetMode="External"/><Relationship Id="rId34" Type="http://schemas.openxmlformats.org/officeDocument/2006/relationships/hyperlink" Target="https://udn.com/news/story/7238/7339690?from=udn-ch1_breaknews-1-cate6-news" TargetMode="External"/><Relationship Id="rId37" Type="http://schemas.openxmlformats.org/officeDocument/2006/relationships/hyperlink" Target="https://udn.com/news/story/7239/7348191" TargetMode="External"/><Relationship Id="rId36" Type="http://schemas.openxmlformats.org/officeDocument/2006/relationships/hyperlink" Target="https://ec.ltn.com.tw/article/breakingnews/4383194" TargetMode="External"/><Relationship Id="rId39" Type="http://schemas.openxmlformats.org/officeDocument/2006/relationships/hyperlink" Target="https://money.udn.com/money/story/7307/7346294?from=edn_newest_index" TargetMode="External"/><Relationship Id="rId38" Type="http://schemas.openxmlformats.org/officeDocument/2006/relationships/hyperlink" Target="https://tw.news.yahoo.com/%E7%99%8C%E7%99%BB%E5%B8%AB-%E4%BA%BA%E5%8A%9B%E8%8D%92-%E5%9C%8B%E8%A1%9B%E9%99%A2%E9%96%8B%E7%99%BCai%E7%A8%8B%E5%BC%8F-%E8%87%AA%E5%8B%95%E7%94%A2%E5%87%BA30%E6%AC%84%E4%BD%8D-%E6%BA%96%E7%A2%BA%E5%BA%A6%E9%81%9485-073606225.html" TargetMode="External"/><Relationship Id="rId20" Type="http://schemas.openxmlformats.org/officeDocument/2006/relationships/hyperlink" Target="https://www.bnext.com.tw/article/75790/tadpi_0626" TargetMode="External"/><Relationship Id="rId22" Type="http://schemas.openxmlformats.org/officeDocument/2006/relationships/hyperlink" Target="https://pdis.nat.gov.tw/zh-TW/blog/%E5%8D%81%E5%B9%B4%E9%96%8B%E6%94%BE%E8%B3%87%E6%96%99-%E9%96%8B%E5%95%9F%E7%84%A1%E9%99%90%E6%9C%AA%E4%BE%86/" TargetMode="External"/><Relationship Id="rId21" Type="http://schemas.openxmlformats.org/officeDocument/2006/relationships/hyperlink" Target="https://www.google.com/search?q=%E6%94%BF%E5%BA%9C%E8%B3%87%E6%96%99%E9%96%8B%E6%94%BE&amp;newwindow=1&amp;tbm=nws&amp;sxsrf=AB5stBg11k4_TMVuAj0g8JflrjEhpvYZVg:1688536588889&amp;source=lnt&amp;tbs=qdr:m&amp;sa=X&amp;ved=2ahUKEwjAyMb88Pb_AhXPsVYBHdLWD_YQpwV6BAgBEAo&amp;biw=1744&amp;bih=1016&amp;dpr=2" TargetMode="External"/><Relationship Id="rId24" Type="http://schemas.openxmlformats.org/officeDocument/2006/relationships/hyperlink" Target="https://www.google.com/search?q=%E6%94%BF%E5%BA%9C%E8%B3%87%E6%96%99%E9%96%8B%E6%94%BE&amp;newwindow=1&amp;tbm=nws&amp;sxsrf=AB5stBg11k4_TMVuAj0g8JflrjEhpvYZVg:1688536588889&amp;source=lnt&amp;tbs=qdr:m&amp;sa=X&amp;ved=2ahUKEwjAyMb88Pb_AhXPsVYBHdLWD_YQpwV6BAgBEAo&amp;biw=1744&amp;bih=1016&amp;dpr=2" TargetMode="External"/><Relationship Id="rId23" Type="http://schemas.openxmlformats.org/officeDocument/2006/relationships/hyperlink" Target="https://money.udn.com/money/story/5635/7240705" TargetMode="External"/><Relationship Id="rId409" Type="http://schemas.openxmlformats.org/officeDocument/2006/relationships/hyperlink" Target="https://www.theverge.com/2024/8/27/24229668/mark-zuckerberg-gop-pressure-biden-censor-covid-posts" TargetMode="External"/><Relationship Id="rId404" Type="http://schemas.openxmlformats.org/officeDocument/2006/relationships/hyperlink" Target="https://medium.com/opendatacharter/71-communities-from-lviv-region-ukraine-adopt-the-international-open-data-charter-en-masse-a0cab0aae9b8" TargetMode="External"/><Relationship Id="rId525" Type="http://schemas.openxmlformats.org/officeDocument/2006/relationships/hyperlink" Target="https://www.inside.com.tw/article/36441-model-c-model-b" TargetMode="External"/><Relationship Id="rId403" Type="http://schemas.openxmlformats.org/officeDocument/2006/relationships/hyperlink" Target="https://www.ithome.com.tw/news/164292" TargetMode="External"/><Relationship Id="rId524" Type="http://schemas.openxmlformats.org/officeDocument/2006/relationships/hyperlink" Target="https://eric.mann.blog/wordpress-drama-from-the-sidelines/" TargetMode="External"/><Relationship Id="rId402" Type="http://schemas.openxmlformats.org/officeDocument/2006/relationships/hyperlink" Target="https://buzzorange.com/techorange/2024/08/02/eu-ai-act-goes-into-effect/" TargetMode="External"/><Relationship Id="rId523" Type="http://schemas.openxmlformats.org/officeDocument/2006/relationships/hyperlink" Target="https://techcrunch.com/2024/09/26/the-tor-project-merges-with-tails-a-linux-based-portable-os-focused-on-privacy/" TargetMode="External"/><Relationship Id="rId401" Type="http://schemas.openxmlformats.org/officeDocument/2006/relationships/hyperlink" Target="https://www.crowdsupply.com/shenzhen-tianmao-technology/genbook-rk3588" TargetMode="External"/><Relationship Id="rId522" Type="http://schemas.openxmlformats.org/officeDocument/2006/relationships/hyperlink" Target="https://socialwebfoundation.org/" TargetMode="External"/><Relationship Id="rId408" Type="http://schemas.openxmlformats.org/officeDocument/2006/relationships/hyperlink" Target="https://www.theverge.com/2024/7/9/24195233/github-ai-copyright-coding-lawsuit-microsoft-openai" TargetMode="External"/><Relationship Id="rId529" Type="http://schemas.openxmlformats.org/officeDocument/2006/relationships/hyperlink" Target="https://hadea.ec.europa.eu/programmes/connecting-europe-facility/wifi4eu/download-wifi4eu-app_en" TargetMode="External"/><Relationship Id="rId407" Type="http://schemas.openxmlformats.org/officeDocument/2006/relationships/hyperlink" Target="https://www.theverge.com/2024/8/21/24225326/google-target-teens-ads-unknown-users" TargetMode="External"/><Relationship Id="rId528" Type="http://schemas.openxmlformats.org/officeDocument/2006/relationships/hyperlink" Target="https://thelivinglib.org/effective-data-stewardship-in-higher-education-skills-competences-and-the-emerging-role-of-open-data-stewards/" TargetMode="External"/><Relationship Id="rId406" Type="http://schemas.openxmlformats.org/officeDocument/2006/relationships/hyperlink" Target="https://www.theverge.com/2024/8/20/24224686/google-class-action-lawsuit-chrome-sync-data-collection" TargetMode="External"/><Relationship Id="rId527" Type="http://schemas.openxmlformats.org/officeDocument/2006/relationships/hyperlink" Target="https://spectrum.ieee.org/optical-atomic-clocks" TargetMode="External"/><Relationship Id="rId405" Type="http://schemas.openxmlformats.org/officeDocument/2006/relationships/hyperlink" Target="https://news.itsfoss.com/proton-mail-ai-assistant/" TargetMode="External"/><Relationship Id="rId526" Type="http://schemas.openxmlformats.org/officeDocument/2006/relationships/hyperlink" Target="https://buzzorange.com/techorange/2024/11/26/anthropic-proposes-new-way-to-connect-data-to-ai-chatbots/" TargetMode="External"/><Relationship Id="rId26" Type="http://schemas.openxmlformats.org/officeDocument/2006/relationships/hyperlink" Target="https://www.inside.com.tw/article/32083-preschools-maps" TargetMode="External"/><Relationship Id="rId25" Type="http://schemas.openxmlformats.org/officeDocument/2006/relationships/hyperlink" Target="https://nspp.mofa.gov.tw/nspp/news.php?unit=406&amp;post=238180" TargetMode="External"/><Relationship Id="rId28" Type="http://schemas.openxmlformats.org/officeDocument/2006/relationships/hyperlink" Target="https://www.taichung.gov.tw/2383202/post" TargetMode="External"/><Relationship Id="rId27" Type="http://schemas.openxmlformats.org/officeDocument/2006/relationships/hyperlink" Target="https://www.google.com/search?q=%E6%94%BF%E5%BA%9C%E8%B3%87%E6%96%99%E9%96%8B%E6%94%BE&amp;newwindow=1&amp;tbm=nws&amp;sxsrf=AB5stBg11k4_TMVuAj0g8JflrjEhpvYZVg:1688536588889&amp;source=lnt&amp;tbs=qdr:m&amp;sa=X&amp;ved=2ahUKEwjAyMb88Pb_AhXPsVYBHdLWD_YQpwV6BAgBEAo&amp;biw=1744&amp;bih=1016&amp;dpr=2" TargetMode="External"/><Relationship Id="rId400" Type="http://schemas.openxmlformats.org/officeDocument/2006/relationships/hyperlink" Target="https://scorecard.dev/" TargetMode="External"/><Relationship Id="rId521" Type="http://schemas.openxmlformats.org/officeDocument/2006/relationships/hyperlink" Target="https://socialwebfoundation.org/" TargetMode="External"/><Relationship Id="rId29" Type="http://schemas.openxmlformats.org/officeDocument/2006/relationships/hyperlink" Target="https://www.google.com/search?q=%E6%94%BF%E5%BA%9C%E8%B3%87%E6%96%99%E9%96%8B%E6%94%BE&amp;newwindow=1&amp;tbm=nws&amp;sxsrf=AB5stBg11k4_TMVuAj0g8JflrjEhpvYZVg:1688536588889&amp;source=lnt&amp;tbs=qdr:m&amp;sa=X&amp;ved=2ahUKEwjAyMb88Pb_AhXPsVYBHdLWD_YQpwV6BAgBEAo&amp;biw=1744&amp;bih=1016&amp;dpr=2" TargetMode="External"/><Relationship Id="rId520" Type="http://schemas.openxmlformats.org/officeDocument/2006/relationships/hyperlink" Target="https://thelivinglib.org/artificial-intelligence-as-a-catalyzer-for-open-government-data-ecosystems-a-typological-theory-approach/" TargetMode="External"/><Relationship Id="rId11" Type="http://schemas.openxmlformats.org/officeDocument/2006/relationships/hyperlink" Target="https://www.google.com/search?q=%E9%AB%98%E5%83%B9%E5%80%BC%E8%B3%87%E6%96%99+%E6%94%BF%E5%BA%9C%E8%B3%87%E6%96%99&amp;client=firefox-b-d&amp;biw=1792&amp;bih=982&amp;tbm=nws&amp;ei=9vukZIXSKo3M-QaPnrLIBg&amp;oq=%E9%AB%98%E5%83%B9%E5%80%BC%E8%B3%87%E6%96%99+%E6%94%BF%E5%BA%9C&amp;gs_lcp=Cgxnd3Mtd2l6LW5ld3MQAxgAMgUIIRCgAToFCAAQogRQgwFYnyhglzdoBnAAeACAAecBiAGpB5IBBTUuMS4ymAEAoAEBwAEB&amp;sclient=gws-wiz-news" TargetMode="External"/><Relationship Id="rId10" Type="http://schemas.openxmlformats.org/officeDocument/2006/relationships/hyperlink" Target="https://ec.ltn.com.tw/article/breakingnews/4069997" TargetMode="External"/><Relationship Id="rId13" Type="http://schemas.openxmlformats.org/officeDocument/2006/relationships/hyperlink" Target="https://futurecity.cw.com.tw/search?key=%E8%B3%87%E6%96%99%E6%B2%BB%E7%90%86" TargetMode="External"/><Relationship Id="rId12" Type="http://schemas.openxmlformats.org/officeDocument/2006/relationships/hyperlink" Target="https://futurecity.cw.com.tw/article/2959" TargetMode="External"/><Relationship Id="rId519" Type="http://schemas.openxmlformats.org/officeDocument/2006/relationships/hyperlink" Target="https://www.zdnet.com/article/why-remove-russian-maintainers-of-linux-kernel-heres-what-torvalds-says/" TargetMode="External"/><Relationship Id="rId514" Type="http://schemas.openxmlformats.org/officeDocument/2006/relationships/hyperlink" Target="https://icon-sets.iconify.design/" TargetMode="External"/><Relationship Id="rId513" Type="http://schemas.openxmlformats.org/officeDocument/2006/relationships/hyperlink" Target="https://techcrunch.com/2024/09/22/linus-torvalds-explains-why-aging-linux-developers-are-a-good-thing/" TargetMode="External"/><Relationship Id="rId512" Type="http://schemas.openxmlformats.org/officeDocument/2006/relationships/hyperlink" Target="https://www.chemistryworld.com/careers/will-open-science-change-chemistry/4020023.article" TargetMode="External"/><Relationship Id="rId511" Type="http://schemas.openxmlformats.org/officeDocument/2006/relationships/hyperlink" Target="https://briefer.cloud/blog/posts/open-source-strategy/" TargetMode="External"/><Relationship Id="rId518" Type="http://schemas.openxmlformats.org/officeDocument/2006/relationships/hyperlink" Target="http://zdnet.com/" TargetMode="External"/><Relationship Id="rId517" Type="http://schemas.openxmlformats.org/officeDocument/2006/relationships/hyperlink" Target="https://github.com/juice-shop/juice-shop" TargetMode="External"/><Relationship Id="rId516" Type="http://schemas.openxmlformats.org/officeDocument/2006/relationships/hyperlink" Target="https://www.ithome.com.tw/news/165064" TargetMode="External"/><Relationship Id="rId515" Type="http://schemas.openxmlformats.org/officeDocument/2006/relationships/hyperlink" Target="https://www.ithome.com.tw/news/165143" TargetMode="External"/><Relationship Id="rId15" Type="http://schemas.openxmlformats.org/officeDocument/2006/relationships/hyperlink" Target="https://futurecity.cw.com.tw/search?key=%E8%B3%87%E6%96%99%E6%B2%BB%E7%90%86" TargetMode="External"/><Relationship Id="rId14" Type="http://schemas.openxmlformats.org/officeDocument/2006/relationships/hyperlink" Target="https://futurecity.cw.com.tw/article/2715" TargetMode="External"/><Relationship Id="rId17" Type="http://schemas.openxmlformats.org/officeDocument/2006/relationships/hyperlink" Target="https://futurecity.cw.com.tw/search?key=%E8%B3%87%E6%96%99%E6%B2%BB%E7%90%86" TargetMode="External"/><Relationship Id="rId16" Type="http://schemas.openxmlformats.org/officeDocument/2006/relationships/hyperlink" Target="https://futurecity.cw.com.tw/article/2897" TargetMode="External"/><Relationship Id="rId19" Type="http://schemas.openxmlformats.org/officeDocument/2006/relationships/hyperlink" Target="https://buzzorange.com/techorange/2022/07/12/open-data-is-necessary/" TargetMode="External"/><Relationship Id="rId510" Type="http://schemas.openxmlformats.org/officeDocument/2006/relationships/hyperlink" Target="https://www.inside.com.tw/article/36216-open-source-festival-lim-giong" TargetMode="External"/><Relationship Id="rId18" Type="http://schemas.openxmlformats.org/officeDocument/2006/relationships/hyperlink" Target="https://www.google.com/search?client=firefox-b-d&amp;q=%E6%94%BF%E5%BA%9C%E8%B3%87%E6%96%99%E9%96%8B%E6%94%BE%20site%3Aithome.com.tw&amp;ved=2ahUKEwjLp7af6fb_AhWEAogKHf8UB2UQ2wF6BAgrEAE&amp;ei=8v2kZMvmHoSFoAT_qZyoBg" TargetMode="External"/><Relationship Id="rId84" Type="http://schemas.openxmlformats.org/officeDocument/2006/relationships/hyperlink" Target="https://ol.mingpao.com/ldy/cultureleisure/culture/20231020/1697740398889/%E5%85%83%E5%AE%87%E5%AE%99%E8%AE%8A%E3%80%8C%E6%99%82%E5%85%89%E6%A9%9F%E3%80%8D-%E9%BB%9E%E9%BB%9E%E6%BB%B4%E6%BB%B4%E4%BF%9D%E8%82%B2%E8%88%8A%E5%9C%B0" TargetMode="External"/><Relationship Id="rId83" Type="http://schemas.openxmlformats.org/officeDocument/2006/relationships/hyperlink" Target="https://n.yam.com/Article/20231017468524" TargetMode="External"/><Relationship Id="rId86" Type="http://schemas.openxmlformats.org/officeDocument/2006/relationships/hyperlink" Target="https://money.udn.com/money/story/5612/7518279" TargetMode="External"/><Relationship Id="rId85" Type="http://schemas.openxmlformats.org/officeDocument/2006/relationships/hyperlink" Target="https://tw.news.yahoo.com/%E5%94%90%E9%B3%B3%EF%BC%9A%E5%80%99%E9%81%B8%E4%BA%BA%E7%B6%B2%E7%AB%99%E8%8B%A5%E9%81%AD%E5%81%BD%E5%86%92-%E6%95%B8%E4%BD%8D%E9%83%A8%E5%8F%AF%E5%8D%94%E5%8A%A9%E5%81%9C%E6%AD%A2%E8%A7%A3%E6%9E%90-034620853.html" TargetMode="External"/><Relationship Id="rId88" Type="http://schemas.openxmlformats.org/officeDocument/2006/relationships/hyperlink" Target="https://n.yam.com/Article/20231106410654" TargetMode="External"/><Relationship Id="rId87" Type="http://schemas.openxmlformats.org/officeDocument/2006/relationships/hyperlink" Target="https://n.yam.com/Article/20231026198571" TargetMode="External"/><Relationship Id="rId89" Type="http://schemas.openxmlformats.org/officeDocument/2006/relationships/hyperlink" Target="https://www.merit-times.com/NewsPage.aspx?unid=865781" TargetMode="External"/><Relationship Id="rId80" Type="http://schemas.openxmlformats.org/officeDocument/2006/relationships/hyperlink" Target="https://udn.com/news/story/7324/7493567" TargetMode="External"/><Relationship Id="rId82" Type="http://schemas.openxmlformats.org/officeDocument/2006/relationships/hyperlink" Target="https://ocacnews.net/article/352281" TargetMode="External"/><Relationship Id="rId81" Type="http://schemas.openxmlformats.org/officeDocument/2006/relationships/hyperlink" Target="https://ocacnews.net/article/352101" TargetMode="External"/><Relationship Id="rId73" Type="http://schemas.openxmlformats.org/officeDocument/2006/relationships/hyperlink" Target="https://tw.news.yahoo.com/%E9%BB%83%E7%8F%8A%E7%8F%8A-%E6%B6%88%E9%98%B2%E5%88%B6%E5%BA%A6%E5%81%A5%E5%85%A8%E6%9B%B4%E9%9C%80%E8%90%BD%E5%AF%A6-%E6%B6%88%E9%98%B2%E5%93%A1%E6%89%8D%E6%9C%83%E5%AE%89%E5%85%A8-211500783.html" TargetMode="External"/><Relationship Id="rId72" Type="http://schemas.openxmlformats.org/officeDocument/2006/relationships/hyperlink" Target="https://today.line.me/tw/v2/article/PG238E5" TargetMode="External"/><Relationship Id="rId75" Type="http://schemas.openxmlformats.org/officeDocument/2006/relationships/hyperlink" Target="https://esg.gvm.com.tw/article/34385" TargetMode="External"/><Relationship Id="rId74" Type="http://schemas.openxmlformats.org/officeDocument/2006/relationships/hyperlink" Target="https://www.ettoday.net/news/20230927/2591497.htm" TargetMode="External"/><Relationship Id="rId77" Type="http://schemas.openxmlformats.org/officeDocument/2006/relationships/hyperlink" Target="http://hk.crntt.com/doc/1067/7/9/4/106779412.html?coluid=1&amp;kindid=0&amp;docid=106779412&amp;mdate=1003143633" TargetMode="External"/><Relationship Id="rId76" Type="http://schemas.openxmlformats.org/officeDocument/2006/relationships/hyperlink" Target="https://www.cna.com.tw/postwrite/chi/352806" TargetMode="External"/><Relationship Id="rId79" Type="http://schemas.openxmlformats.org/officeDocument/2006/relationships/hyperlink" Target="https://www.hccg.gov.tw/ch/home.jsp?id=30122&amp;parentpath=0,16,30121&amp;mcustomize=municipalnews_view.jsp&amp;dataserno=202310090001&amp;aplistdn=ou=municipalnews,ou=message,ou=ap_root,o=hccg,c=tw&amp;toolsflag=Y&amp;mserno=201601300307" TargetMode="External"/><Relationship Id="rId78" Type="http://schemas.openxmlformats.org/officeDocument/2006/relationships/hyperlink" Target="https://tw.news.yahoo.com/%E9%BB%91%E6%BD%AE%E5%9F%BA%E9%87%91%E6%9C%83%E5%85%AC%E9%96%8B%E9%AF%A8%E8%B1%9A%E7%9B%AE%E6%93%8A%E8%B3%87%E6%96%99%E5%BA%AB-201000142.html" TargetMode="External"/><Relationship Id="rId71" Type="http://schemas.openxmlformats.org/officeDocument/2006/relationships/hyperlink" Target="https://www.cdnnews.com.tw/articles/879011" TargetMode="External"/><Relationship Id="rId70" Type="http://schemas.openxmlformats.org/officeDocument/2006/relationships/hyperlink" Target="https://www.ydn.com.tw/news/newsInsidePage?chapterID=1617782&amp;type=highlight" TargetMode="External"/><Relationship Id="rId62" Type="http://schemas.openxmlformats.org/officeDocument/2006/relationships/hyperlink" Target="https://n.yam.com/Article/20230921133681" TargetMode="External"/><Relationship Id="rId61" Type="http://schemas.openxmlformats.org/officeDocument/2006/relationships/hyperlink" Target="https://www.taiwannews.com.tw/ch/news/5001441" TargetMode="External"/><Relationship Id="rId64" Type="http://schemas.openxmlformats.org/officeDocument/2006/relationships/hyperlink" Target="https://tw.news.yahoo.com/%E5%9C%8B%E9%81%93%E6%99%BA%E6%85%A7%E4%BA%A4%E9%80%9A%E7%AE%A1%E7%90%86%E5%89%B5%E6%84%8F%E8%B3%BD-%E7%B5%90%E6%9E%9C%E5%87%BA%E7%88%90-091903658.html" TargetMode="External"/><Relationship Id="rId63" Type="http://schemas.openxmlformats.org/officeDocument/2006/relationships/hyperlink" Target="https://www.trade.gov.tw/Pages/Detail.aspx?nodeID=45&amp;pid=768284" TargetMode="External"/><Relationship Id="rId66" Type="http://schemas.openxmlformats.org/officeDocument/2006/relationships/hyperlink" Target="https://tw.news.yahoo.com/%E5%87%BA%E5%B8%AD%E9%BB%91%E5%AE%A2%E6%9D%BE%E9%A0%92%E7%8D%8E%E5%85%B8%E7%A6%AE-%E8%94%A1%E8%8B%B1%E6%96%87%E5%85%88%E7%8E%87%E5%85%A8%E5%A0%B4%E7%82%BA%E5%B1%8F%E6%9D%B1%E5%B7%A5%E5%BB%A0%E5%A4%A7%E7%81%AB%E6%AD%BB%E5%82%B7%E9%BB%98%E5%93%80-%E5%88%86%E9%90%98-081505393.html" TargetMode="External"/><Relationship Id="rId65" Type="http://schemas.openxmlformats.org/officeDocument/2006/relationships/hyperlink" Target="https://ec.ltn.com.tw/article/paper/1606455" TargetMode="External"/><Relationship Id="rId68" Type="http://schemas.openxmlformats.org/officeDocument/2006/relationships/hyperlink" Target="https://ocacnews.net/article/351005" TargetMode="External"/><Relationship Id="rId67" Type="http://schemas.openxmlformats.org/officeDocument/2006/relationships/hyperlink" Target="https://www.ftvnews.com.tw/news/detail/2023924W0185" TargetMode="External"/><Relationship Id="rId60" Type="http://schemas.openxmlformats.org/officeDocument/2006/relationships/hyperlink" Target="https://n.yam.com/Article/20230915548720" TargetMode="External"/><Relationship Id="rId69" Type="http://schemas.openxmlformats.org/officeDocument/2006/relationships/hyperlink" Target="https://tw.news.yahoo.com/2023%E7%B8%BD%E7%B5%B1%E7%9B%83%E9%BB%91%E5%AE%A2%E6%9D%BE-%E5%A0%85%E5%AE%9A%E8%B5%B0%E5%90%91%E5%B9%B8%E7%A6%8F%E7%9A%84%E9%81%93%E8%B7%AF-052656958.html" TargetMode="External"/><Relationship Id="rId51" Type="http://schemas.openxmlformats.org/officeDocument/2006/relationships/hyperlink" Target="https://www.commonhealth.com.tw/article/88959" TargetMode="External"/><Relationship Id="rId50" Type="http://schemas.openxmlformats.org/officeDocument/2006/relationships/hyperlink" Target="https://www.ey.gov.tw/Page/9277F759E41CCD91/52541b25-38b8-4953-a761-4201c7dff2b5" TargetMode="External"/><Relationship Id="rId53" Type="http://schemas.openxmlformats.org/officeDocument/2006/relationships/hyperlink" Target="https://www.sfb.gov.tw/ch/home.jsp?id=95&amp;parentpath=0,2&amp;mcustomize=multimessage_view.jsp&amp;dataserno=202311110001&amp;dtable=News" TargetMode="External"/><Relationship Id="rId52" Type="http://schemas.openxmlformats.org/officeDocument/2006/relationships/hyperlink" Target="https://n.yam.com/Article/20231115500846" TargetMode="External"/><Relationship Id="rId55" Type="http://schemas.openxmlformats.org/officeDocument/2006/relationships/hyperlink" Target="https://www.ctee.com.tw/news/20230911700120-439901" TargetMode="External"/><Relationship Id="rId54" Type="http://schemas.openxmlformats.org/officeDocument/2006/relationships/hyperlink" Target="https://n.yam.com/Article/20230912864596" TargetMode="External"/><Relationship Id="rId57" Type="http://schemas.openxmlformats.org/officeDocument/2006/relationships/hyperlink" Target="https://udn.com/news/story/7240/7436300" TargetMode="External"/><Relationship Id="rId56" Type="http://schemas.openxmlformats.org/officeDocument/2006/relationships/hyperlink" Target="https://www.cna.com.tw/postwrite/chi/350374" TargetMode="External"/><Relationship Id="rId59" Type="http://schemas.openxmlformats.org/officeDocument/2006/relationships/hyperlink" Target="https://www.cna.com.tw/postwrite/chi/351291" TargetMode="External"/><Relationship Id="rId58" Type="http://schemas.openxmlformats.org/officeDocument/2006/relationships/hyperlink" Target="https://udn.com/news/story/123743/7438057" TargetMode="External"/><Relationship Id="rId590" Type="http://schemas.openxmlformats.org/officeDocument/2006/relationships/hyperlink" Target="http://phoronix.com/" TargetMode="External"/><Relationship Id="rId107" Type="http://schemas.openxmlformats.org/officeDocument/2006/relationships/hyperlink" Target="https://pdis.nat.gov.tw/zh-TW/blog/%E6%98%94%E6%97%A5%E5%9B%9E%E9%9F%BF-%E6%9C%AA%E4%BE%86%E4%B9%8B%E8%81%B2/" TargetMode="External"/><Relationship Id="rId228" Type="http://schemas.openxmlformats.org/officeDocument/2006/relationships/hyperlink" Target="https://openchainproject.org/news/2024/04/23/webinar-cyber-resilience-act" TargetMode="External"/><Relationship Id="rId349" Type="http://schemas.openxmlformats.org/officeDocument/2006/relationships/hyperlink" Target="https://twllm.com/?source=post_page-----1b249b88ab67--------------------------------" TargetMode="External"/><Relationship Id="rId106" Type="http://schemas.openxmlformats.org/officeDocument/2006/relationships/hyperlink" Target="https://tw.news.yahoo.com/%E6%96%B0%E5%8C%97%E8%A1%9B%E7%94%9F%E5%B1%80-%E5%B8%82%E7%AB%8B%E8%81%AF%E9%86%AB%E6%A6%AE%E7%8D%B2%E6%94%BF%E5%BA%9C%E8%B3%87%E6%96%99%E9%96%8B%E6%94%BE%E4%BA%BA%E6%B0%A3%E7%8D%8E-085441940.html" TargetMode="External"/><Relationship Id="rId227" Type="http://schemas.openxmlformats.org/officeDocument/2006/relationships/hyperlink" Target="https://openchainproject.org/webinar/2024/04/18/webinar-management-best-practices-portal" TargetMode="External"/><Relationship Id="rId348" Type="http://schemas.openxmlformats.org/officeDocument/2006/relationships/hyperlink" Target="https://www.ithome.com.tw/news/163730" TargetMode="External"/><Relationship Id="rId469" Type="http://schemas.openxmlformats.org/officeDocument/2006/relationships/hyperlink" Target="https://www.zdnet.com/article/how-open-source-is-steering-ai-down-the-high-road/" TargetMode="External"/><Relationship Id="rId105" Type="http://schemas.openxmlformats.org/officeDocument/2006/relationships/hyperlink" Target="https://www.hk01.com/01%E8%AB%96%E5%A3%87/963887/" TargetMode="External"/><Relationship Id="rId226" Type="http://schemas.openxmlformats.org/officeDocument/2006/relationships/hyperlink" Target="https://www.msn.com/zh-tw/news/national/%E6%B0%A3%E8%B1%A1%E5%B0%88%E5%AE%B6%E5%BD%AD%E5%95%9F%E6%98%8E%E5%87%BA%E4%BB%BB%E7%92%B0%E5%A2%83%E9%83%A8%E9%95%B7-%E9%80%A3%E7%B5%90%E7%94%A2%E5%AE%98%E5%AD%B8%E7%95%8C%E6%89%93%E9%80%A0%E6%B7%A8%E9%9B%B6%E7%94%9F%E6%85%8B%E7%B3%BB/ar-AA1ngTW3" TargetMode="External"/><Relationship Id="rId347" Type="http://schemas.openxmlformats.org/officeDocument/2006/relationships/hyperlink" Target="https://medium.com/opendatacharter/spotlight-exploring-the-data-ecosystem-and-data-governance-in-smart-cities-1173bceb450a" TargetMode="External"/><Relationship Id="rId468" Type="http://schemas.openxmlformats.org/officeDocument/2006/relationships/hyperlink" Target="https://www.theverge.com/2024/10/4/24262410/wordpress-fight-trademarks-open-source-mullenweg" TargetMode="External"/><Relationship Id="rId589" Type="http://schemas.openxmlformats.org/officeDocument/2006/relationships/hyperlink" Target="https://github.com/microsoft/markitdown" TargetMode="External"/><Relationship Id="rId104" Type="http://schemas.openxmlformats.org/officeDocument/2006/relationships/hyperlink" Target="https://www.ettoday.net/news/20231115/2623794.htm?redirect=1" TargetMode="External"/><Relationship Id="rId225" Type="http://schemas.openxmlformats.org/officeDocument/2006/relationships/hyperlink" Target="https://tw.news.yahoo.com/%E7%8D%A8%E5%AE%B6-%E9%99%B3%E5%85%B6%E9%82%81%E6%8B%8D%E6%9D%BF%E9%AB%98%E9%9B%84%E5%B8%82%E5%89%AF%E5%B8%82%E9%95%B7%E4%BA%BA%E9%81%B8-%E6%95%B8%E7%99%BC%E9%83%A8%E6%AC%A1%E9%95%B7-%E8%98%87%E7%B3%BB%E5%A4%A7%E5%B0%87%E5%87%BA%E7%B7%9A-090000051.html" TargetMode="External"/><Relationship Id="rId346" Type="http://schemas.openxmlformats.org/officeDocument/2006/relationships/hyperlink" Target="https://drive.google.com/file/d/1Dohl-_uThVOQphjmtteA_K0DFjVV9sKs/view" TargetMode="External"/><Relationship Id="rId467" Type="http://schemas.openxmlformats.org/officeDocument/2006/relationships/hyperlink" Target="https://eur-lex.europa.eu/legal-content/EN/TXT/?uri=COM:2024:357:FIN&amp;qid=1721897017650" TargetMode="External"/><Relationship Id="rId588" Type="http://schemas.openxmlformats.org/officeDocument/2006/relationships/hyperlink" Target="https://venturebeat.com/ai/aiola-unveils-open-source-ai-audio-transcription-model-that-obscures-sensitive-info-in-realtime/" TargetMode="External"/><Relationship Id="rId109" Type="http://schemas.openxmlformats.org/officeDocument/2006/relationships/hyperlink" Target="https://n.yam.com/Article/20231124315433" TargetMode="External"/><Relationship Id="rId108" Type="http://schemas.openxmlformats.org/officeDocument/2006/relationships/hyperlink" Target="https://www.trademag.org.tw/page/newsid1/?id=7892124&amp;iz=3" TargetMode="External"/><Relationship Id="rId229" Type="http://schemas.openxmlformats.org/officeDocument/2006/relationships/hyperlink" Target="https://www.businesswire.com/news/home/20240421440918/en/Data4Industry-X-Bridging-Industrial-Data-Ecosystems-by-Interfacing-with-OPC-UA-Protocol-and-using-Eclipse-Dataspace-Components-for-a-Sustainable-Competitive-Industry" TargetMode="External"/><Relationship Id="rId220" Type="http://schemas.openxmlformats.org/officeDocument/2006/relationships/hyperlink" Target="https://groups.google.com/a/ocf.tw/g/opentechnews/c/bHFeK1Z9y8s" TargetMode="External"/><Relationship Id="rId341" Type="http://schemas.openxmlformats.org/officeDocument/2006/relationships/hyperlink" Target="https://buzzorange.com/techorange/2024/07/04/nexcom-aiot-podcast/" TargetMode="External"/><Relationship Id="rId462" Type="http://schemas.openxmlformats.org/officeDocument/2006/relationships/hyperlink" Target="https://news.ycombinator.com/item?id=41488563" TargetMode="External"/><Relationship Id="rId583" Type="http://schemas.openxmlformats.org/officeDocument/2006/relationships/hyperlink" Target="https://huggingface.co/OuteAI/OuteTTS-0.1-350M" TargetMode="External"/><Relationship Id="rId340" Type="http://schemas.openxmlformats.org/officeDocument/2006/relationships/hyperlink" Target="https://www.bnext.com.tw/article/79659/how-to-protect-own-rights-when-using-generative-ai" TargetMode="External"/><Relationship Id="rId461" Type="http://schemas.openxmlformats.org/officeDocument/2006/relationships/hyperlink" Target="https://it-notes.dragas.net/2024/10/03/i-solve-problems-eurobsdcon/" TargetMode="External"/><Relationship Id="rId582" Type="http://schemas.openxmlformats.org/officeDocument/2006/relationships/hyperlink" Target="https://spliit.app/blog/spliit-by-the-stats-usage-costs-donations" TargetMode="External"/><Relationship Id="rId460" Type="http://schemas.openxmlformats.org/officeDocument/2006/relationships/hyperlink" Target="https://blog.okfn.org/2024/08/01/a-vicious-circle-is-preventing-openness-from-flourishing-in-francophone-africa/" TargetMode="External"/><Relationship Id="rId581" Type="http://schemas.openxmlformats.org/officeDocument/2006/relationships/hyperlink" Target="https://floss.fund/blog/announcing-floss-fund/" TargetMode="External"/><Relationship Id="rId580" Type="http://schemas.openxmlformats.org/officeDocument/2006/relationships/hyperlink" Target="https://www.kv4p.com/" TargetMode="External"/><Relationship Id="rId103" Type="http://schemas.openxmlformats.org/officeDocument/2006/relationships/hyperlink" Target="https://tw.sports.yahoo.com/news/%E5%BB%88%E9%96%80%E5%85%AC%E5%8F%B8%E6%89%93-%E4%B8%AD%E5%9C%8B%E5%8F%B0%E5%8C%97%E6%95%85%E5%AE%AE-%E5%90%8D%E8%99%9F-%E6%95%85%E5%AE%AE%E6%BA%96%E5%82%99%E8%A8%B4%E8%A8%9F-142107895.html" TargetMode="External"/><Relationship Id="rId224" Type="http://schemas.openxmlformats.org/officeDocument/2006/relationships/hyperlink" Target="https://ocacnews.net/article/367625" TargetMode="External"/><Relationship Id="rId345" Type="http://schemas.openxmlformats.org/officeDocument/2006/relationships/hyperlink" Target="https://opendatacharter.org/resources/access-to-public-information-open-data-and-personal-data-protection-how-do-they-dialogue-with-each-other/" TargetMode="External"/><Relationship Id="rId466" Type="http://schemas.openxmlformats.org/officeDocument/2006/relationships/hyperlink" Target="https://www.aoshearman.com/en/insights/ao-shearman-on-data/european-commission-publishes-second-report-on-application-of-gdpr" TargetMode="External"/><Relationship Id="rId587" Type="http://schemas.openxmlformats.org/officeDocument/2006/relationships/hyperlink" Target="http://venturebeat.com/" TargetMode="External"/><Relationship Id="rId102" Type="http://schemas.openxmlformats.org/officeDocument/2006/relationships/hyperlink" Target="https://money.udn.com/money/story/5635/7565630?from=edn_newestlist_cate_side" TargetMode="External"/><Relationship Id="rId223" Type="http://schemas.openxmlformats.org/officeDocument/2006/relationships/hyperlink" Target="https://n.yam.com/Article/20240424234764" TargetMode="External"/><Relationship Id="rId344" Type="http://schemas.openxmlformats.org/officeDocument/2006/relationships/hyperlink" Target="https://www.ithome.com.tw/news/163679" TargetMode="External"/><Relationship Id="rId465" Type="http://schemas.openxmlformats.org/officeDocument/2006/relationships/hyperlink" Target="https://www.engadget.com/big-tech/meta-fined-102-million-for-storing-passwords-in-plain-text-110049679.html" TargetMode="External"/><Relationship Id="rId586" Type="http://schemas.openxmlformats.org/officeDocument/2006/relationships/hyperlink" Target="https://github.com/wsgtcyx/pokemon-tcg-pocket" TargetMode="External"/><Relationship Id="rId101" Type="http://schemas.openxmlformats.org/officeDocument/2006/relationships/hyperlink" Target="https://infosecu.technews.tw/2023/11/13/how-important-is-the-data-required-by-the-ai-%E2%80%8B%E2%80%8Bindustry/" TargetMode="External"/><Relationship Id="rId222" Type="http://schemas.openxmlformats.org/officeDocument/2006/relationships/hyperlink" Target="https://www.cna.com.tw/postwrite/chi/368914" TargetMode="External"/><Relationship Id="rId343" Type="http://schemas.openxmlformats.org/officeDocument/2006/relationships/hyperlink" Target="https://www.glamelab.org/" TargetMode="External"/><Relationship Id="rId464" Type="http://schemas.openxmlformats.org/officeDocument/2006/relationships/hyperlink" Target="https://europeanconservative.com/articles/analysis/new-eu-regulation-on-healthcare-data-threatens-privacy-and-security/" TargetMode="External"/><Relationship Id="rId585" Type="http://schemas.openxmlformats.org/officeDocument/2006/relationships/hyperlink" Target="https://blog.sentry.io/we-just-gave-750-000-dollars-to-open-source-maintainers/" TargetMode="External"/><Relationship Id="rId100" Type="http://schemas.openxmlformats.org/officeDocument/2006/relationships/hyperlink" Target="https://www.cna.com.tw/postwrite/chi/356682" TargetMode="External"/><Relationship Id="rId221" Type="http://schemas.openxmlformats.org/officeDocument/2006/relationships/hyperlink" Target="https://www.rti.org.tw/news/view/id/2203625" TargetMode="External"/><Relationship Id="rId342" Type="http://schemas.openxmlformats.org/officeDocument/2006/relationships/hyperlink" Target="https://creativecommons.org/2024/06/26/moving-institutions-toward-open-building-on-6-years-of-the-open-glam-survey/" TargetMode="External"/><Relationship Id="rId463" Type="http://schemas.openxmlformats.org/officeDocument/2006/relationships/hyperlink" Target="https://rocket9labs.com/post/on-the-importance-of-f-droid/" TargetMode="External"/><Relationship Id="rId584" Type="http://schemas.openxmlformats.org/officeDocument/2006/relationships/hyperlink" Target="https://opencoder-llm.github.io/" TargetMode="External"/><Relationship Id="rId217" Type="http://schemas.openxmlformats.org/officeDocument/2006/relationships/hyperlink" Target="https://www.ctee.com.tw/news/20240422700576-431201" TargetMode="External"/><Relationship Id="rId338" Type="http://schemas.openxmlformats.org/officeDocument/2006/relationships/hyperlink" Target="https://opensource.net/lessons-learned-open-source-30-years-freedos/" TargetMode="External"/><Relationship Id="rId459" Type="http://schemas.openxmlformats.org/officeDocument/2006/relationships/hyperlink" Target="https://cra.mr/open-source-is-not-a-business-model/" TargetMode="External"/><Relationship Id="rId216" Type="http://schemas.openxmlformats.org/officeDocument/2006/relationships/hyperlink" Target="https://www.rti.org.tw/news/view/id/2203147" TargetMode="External"/><Relationship Id="rId337" Type="http://schemas.openxmlformats.org/officeDocument/2006/relationships/hyperlink" Target="http://opensource.net/" TargetMode="External"/><Relationship Id="rId458" Type="http://schemas.openxmlformats.org/officeDocument/2006/relationships/hyperlink" Target="https://www.baldurbjarnason.com/2024/the-slow-evaporation-of-the-foss-surplus/" TargetMode="External"/><Relationship Id="rId579" Type="http://schemas.openxmlformats.org/officeDocument/2006/relationships/hyperlink" Target="https://thenewstack.io/avoiding-a-geopolitical-open-source-apocalypse/" TargetMode="External"/><Relationship Id="rId215" Type="http://schemas.openxmlformats.org/officeDocument/2006/relationships/hyperlink" Target="https://discourse.ubuntu.com/t/ubucon-latin-america-2024-call-for-papers/44218" TargetMode="External"/><Relationship Id="rId336" Type="http://schemas.openxmlformats.org/officeDocument/2006/relationships/hyperlink" Target="https://techcrunch.com/2024/06/18/suse-wants-a-piece-of-the-ai-cake-too/" TargetMode="External"/><Relationship Id="rId457" Type="http://schemas.openxmlformats.org/officeDocument/2006/relationships/hyperlink" Target="https://blog.incrementalforgetting.tech/p/sculpting-a-book-the-chisel" TargetMode="External"/><Relationship Id="rId578" Type="http://schemas.openxmlformats.org/officeDocument/2006/relationships/hyperlink" Target="https://lucumr.pocoo.org/2024/10/14/mixing-oss-and-money/" TargetMode="External"/><Relationship Id="rId214" Type="http://schemas.openxmlformats.org/officeDocument/2006/relationships/hyperlink" Target="https://cons.judicial.gov.tw/docdata.aspx?fid=38&amp;id=309956" TargetMode="External"/><Relationship Id="rId335" Type="http://schemas.openxmlformats.org/officeDocument/2006/relationships/hyperlink" Target="https://linux.cn/article-16603-1.html" TargetMode="External"/><Relationship Id="rId456" Type="http://schemas.openxmlformats.org/officeDocument/2006/relationships/hyperlink" Target="https://blog.val.town/blog/oss/" TargetMode="External"/><Relationship Id="rId577" Type="http://schemas.openxmlformats.org/officeDocument/2006/relationships/hyperlink" Target="https://techcrunch.com/2024/10/06/aws-ceo-matt-garman-on-generative-ai-open-source-and-closing-services/" TargetMode="External"/><Relationship Id="rId219" Type="http://schemas.openxmlformats.org/officeDocument/2006/relationships/hyperlink" Target="https://2024.ubucon.asia/" TargetMode="External"/><Relationship Id="rId218" Type="http://schemas.openxmlformats.org/officeDocument/2006/relationships/hyperlink" Target="https://discourse.ubuntu.com/t/fossasia-summit-2024-recap/44238" TargetMode="External"/><Relationship Id="rId339" Type="http://schemas.openxmlformats.org/officeDocument/2006/relationships/hyperlink" Target="https://www.bnext.com.tw/author/1621" TargetMode="External"/><Relationship Id="rId330" Type="http://schemas.openxmlformats.org/officeDocument/2006/relationships/hyperlink" Target="https://pure.mpg.de/pubman/item/item_3588217_2/component/file_3588218/liesenfeld_dingemanse_2024_FAccT_generative_AI_open-washing_EU_AI_Act.pdf" TargetMode="External"/><Relationship Id="rId451" Type="http://schemas.openxmlformats.org/officeDocument/2006/relationships/hyperlink" Target="https://opensource.org/delayed-open-source-publication" TargetMode="External"/><Relationship Id="rId572" Type="http://schemas.openxmlformats.org/officeDocument/2006/relationships/hyperlink" Target="https://lucumr.pocoo.org/2024/10/14/mixing-oss-and-money/" TargetMode="External"/><Relationship Id="rId450" Type="http://schemas.openxmlformats.org/officeDocument/2006/relationships/hyperlink" Target="https://techcrunch.com/2024/08/10/one-man-decided-to-take-on-google-maps-20-years-later-openstreetmap-is-still-going-strong/" TargetMode="External"/><Relationship Id="rId571" Type="http://schemas.openxmlformats.org/officeDocument/2006/relationships/hyperlink" Target="http://lucumr.pocoo.org/" TargetMode="External"/><Relationship Id="rId570" Type="http://schemas.openxmlformats.org/officeDocument/2006/relationships/hyperlink" Target="https://xuanwo.io/2024/10-a-letter-to-open-source-maintainers/" TargetMode="External"/><Relationship Id="rId213" Type="http://schemas.openxmlformats.org/officeDocument/2006/relationships/hyperlink" Target="https://www.twreporter.org/a/opinion-act-on-health-and-welfare-data" TargetMode="External"/><Relationship Id="rId334" Type="http://schemas.openxmlformats.org/officeDocument/2006/relationships/hyperlink" Target="https://linux.cn/article-16602-1.html" TargetMode="External"/><Relationship Id="rId455" Type="http://schemas.openxmlformats.org/officeDocument/2006/relationships/hyperlink" Target="https://www.elastic.co/blog/elasticsearch-is-open-source-again" TargetMode="External"/><Relationship Id="rId576" Type="http://schemas.openxmlformats.org/officeDocument/2006/relationships/hyperlink" Target="http://ibm.com/" TargetMode="External"/><Relationship Id="rId212" Type="http://schemas.openxmlformats.org/officeDocument/2006/relationships/hyperlink" Target="https://mp.weixin.qq.com/s/86XnP3h6Md92tWD-knUUqg" TargetMode="External"/><Relationship Id="rId333" Type="http://schemas.openxmlformats.org/officeDocument/2006/relationships/hyperlink" Target="http://linux.cn/" TargetMode="External"/><Relationship Id="rId454" Type="http://schemas.openxmlformats.org/officeDocument/2006/relationships/hyperlink" Target="https://www.dicebreaker.com/games/dungeons-and-dragons-5e/news/dungeons-and-dragons-2024-srd-wont-be-another-ogl-fiasco" TargetMode="External"/><Relationship Id="rId575" Type="http://schemas.openxmlformats.org/officeDocument/2006/relationships/hyperlink" Target="https://techcrunch.com/2024/10/02/openstack-is-ready-for-the-vmware-refugees/?guccounter=1" TargetMode="External"/><Relationship Id="rId211" Type="http://schemas.openxmlformats.org/officeDocument/2006/relationships/hyperlink" Target="https://techcrunch.com/2024/04/09/google-open-sources-tools-to-support-ai-model-development/" TargetMode="External"/><Relationship Id="rId332" Type="http://schemas.openxmlformats.org/officeDocument/2006/relationships/hyperlink" Target="https://onlinelibrary.wiley.com/doi/full/10.1111/isj.12468" TargetMode="External"/><Relationship Id="rId453" Type="http://schemas.openxmlformats.org/officeDocument/2006/relationships/hyperlink" Target="https://techcrunch.com/2024/08/01/ai-music-startup-suno-response-riaa-lawsuit/" TargetMode="External"/><Relationship Id="rId574" Type="http://schemas.openxmlformats.org/officeDocument/2006/relationships/hyperlink" Target="https://blog.pragmaticengineer.com/did-automattic-commit-open-source-theft/" TargetMode="External"/><Relationship Id="rId210" Type="http://schemas.openxmlformats.org/officeDocument/2006/relationships/hyperlink" Target="https://techcrunch.com/2024/04/02/open-source-foundations-unite-on-common-standards-for-eus-cybersecurity-resilience-act/" TargetMode="External"/><Relationship Id="rId331" Type="http://schemas.openxmlformats.org/officeDocument/2006/relationships/hyperlink" Target="https://www.axios.com/2024/05/30/irs-taxes-direct-file-free-program" TargetMode="External"/><Relationship Id="rId452" Type="http://schemas.openxmlformats.org/officeDocument/2006/relationships/hyperlink" Target="https://opensource.org/wp-content/uploads/2024/01/Delayed_Open_Source_Publication.pdf" TargetMode="External"/><Relationship Id="rId573" Type="http://schemas.openxmlformats.org/officeDocument/2006/relationships/hyperlink" Target="http://gyptazy.com/" TargetMode="External"/><Relationship Id="rId370" Type="http://schemas.openxmlformats.org/officeDocument/2006/relationships/hyperlink" Target="https://blog.okfn.org/2024/07/16/the-european-union-must-keep-funding-free-software/" TargetMode="External"/><Relationship Id="rId491" Type="http://schemas.openxmlformats.org/officeDocument/2006/relationships/hyperlink" Target="https://buzzorange.com/techorange/2024/09/04/open-source-alternative-software/" TargetMode="External"/><Relationship Id="rId490" Type="http://schemas.openxmlformats.org/officeDocument/2006/relationships/hyperlink" Target="https://portal.sina.com.hk/finance/finance-globenewswire/globenewswire/2024/08/27/949798/edb-supports-mermaids-global-open-source-initiative-to-confront-ongoing-coral-reef-crisis/" TargetMode="External"/><Relationship Id="rId129" Type="http://schemas.openxmlformats.org/officeDocument/2006/relationships/hyperlink" Target="https://www.cna.com.tw/postwrite/chi/360111" TargetMode="External"/><Relationship Id="rId128" Type="http://schemas.openxmlformats.org/officeDocument/2006/relationships/hyperlink" Target="https://tw.news.yahoo.com/%E7%9B%A7%E7%A7%80%E7%87%95%E5%8A%9B%E6%8E%A8%E9%99%BD%E5%85%89%E6%94%BF%E6%B2%BB-%E4%B8%AD%E5%B8%82%E5%BA%9C%E8%B3%87%E6%96%99%E9%96%8B%E6%94%BE%E5%B9%B3%E5%8F%B0%E4%BE%BF%E6%B0%91%E6%9B%B4%E5%8D%87%E7%B4%9A-035712328.html" TargetMode="External"/><Relationship Id="rId249" Type="http://schemas.openxmlformats.org/officeDocument/2006/relationships/hyperlink" Target="https://www.ithome.com.tw/news/163328" TargetMode="External"/><Relationship Id="rId127" Type="http://schemas.openxmlformats.org/officeDocument/2006/relationships/hyperlink" Target="https://focus.586.com.tw/2023/12/19/p293354/" TargetMode="External"/><Relationship Id="rId248" Type="http://schemas.openxmlformats.org/officeDocument/2006/relationships/hyperlink" Target="https://www.raspberrypi.com/news/raspberry-pi-ai-kit-available-now-at-70/" TargetMode="External"/><Relationship Id="rId369" Type="http://schemas.openxmlformats.org/officeDocument/2006/relationships/hyperlink" Target="https://delano.lu/article/gdpr-certifications-non-compli-2" TargetMode="External"/><Relationship Id="rId126" Type="http://schemas.openxmlformats.org/officeDocument/2006/relationships/hyperlink" Target="https://n.yam.com/Article/20231217477550" TargetMode="External"/><Relationship Id="rId247" Type="http://schemas.openxmlformats.org/officeDocument/2006/relationships/hyperlink" Target="https://opensource.googleblog.com/2024/05/semi-supervised-anomaly-detection-under-distribution-mismatch.html" TargetMode="External"/><Relationship Id="rId368" Type="http://schemas.openxmlformats.org/officeDocument/2006/relationships/hyperlink" Target="https://buzzorange.com/techorange/2024/07/16/taiwan-ai-act-2024/" TargetMode="External"/><Relationship Id="rId489" Type="http://schemas.openxmlformats.org/officeDocument/2006/relationships/hyperlink" Target="https://blog.okfn.org/2024/08/22/open-knowledge-is-still-seen-as-very-technical-in-asia-which-excludes-a-lot-of-people/" TargetMode="External"/><Relationship Id="rId121" Type="http://schemas.openxmlformats.org/officeDocument/2006/relationships/hyperlink" Target="https://www.cna.com.tw/postwrite/chi/359388" TargetMode="External"/><Relationship Id="rId242" Type="http://schemas.openxmlformats.org/officeDocument/2006/relationships/hyperlink" Target="https://medium.com/opendatacharter/sustainable-data-for-a-changing-world-ae69968c2516" TargetMode="External"/><Relationship Id="rId363" Type="http://schemas.openxmlformats.org/officeDocument/2006/relationships/hyperlink" Target="https://www.ithome.com.tw/news/163971" TargetMode="External"/><Relationship Id="rId484" Type="http://schemas.openxmlformats.org/officeDocument/2006/relationships/hyperlink" Target="https://op.europa.eu/en/publication-detail/-/publication/3603e219-6a65-11ef-a8ba-01aa75ed71a1/language-en" TargetMode="External"/><Relationship Id="rId120" Type="http://schemas.openxmlformats.org/officeDocument/2006/relationships/hyperlink" Target="https://www.ydn.com.tw/news/newsInsidePage?chapterID=1635683" TargetMode="External"/><Relationship Id="rId241" Type="http://schemas.openxmlformats.org/officeDocument/2006/relationships/hyperlink" Target="https://www.theinformation.com/articles/how-will-open-source-ai-make-money" TargetMode="External"/><Relationship Id="rId362" Type="http://schemas.openxmlformats.org/officeDocument/2006/relationships/hyperlink" Target="https://opensource.org/blog/the-open-source-initiative-joins-cmu-in-launching-open-forum-for-ai-a-human-centered-approach-to-ai-development" TargetMode="External"/><Relationship Id="rId483" Type="http://schemas.openxmlformats.org/officeDocument/2006/relationships/hyperlink" Target="https://aosabook.org/en/" TargetMode="External"/><Relationship Id="rId240" Type="http://schemas.openxmlformats.org/officeDocument/2006/relationships/hyperlink" Target="https://www.law.kuleuven.be/citip/blog/from-data-silos-to-data-ecosystems-the-role-of-data-spaces-support-centre-in-addressing-the-legal-challenges-of-the-future-single-market-for-data/" TargetMode="External"/><Relationship Id="rId361" Type="http://schemas.openxmlformats.org/officeDocument/2006/relationships/hyperlink" Target="https://zulip.com/" TargetMode="External"/><Relationship Id="rId482" Type="http://schemas.openxmlformats.org/officeDocument/2006/relationships/hyperlink" Target="https://explore.tidelift.com/2024-survey" TargetMode="External"/><Relationship Id="rId360" Type="http://schemas.openxmlformats.org/officeDocument/2006/relationships/hyperlink" Target="https://visualstudiomagazine.com/Articles/2024/06/27/eclipse-theia-ide.aspx" TargetMode="External"/><Relationship Id="rId481" Type="http://schemas.openxmlformats.org/officeDocument/2006/relationships/hyperlink" Target="https://www.theregister.com/2024/09/18/open_source_maintainers_underpaid/" TargetMode="External"/><Relationship Id="rId125" Type="http://schemas.openxmlformats.org/officeDocument/2006/relationships/hyperlink" Target="https://tw.news.yahoo.com/95-%E6%B0%91%E7%9C%BE%E6%8C%87%E5%81%87%E6%96%B0%E8%81%9E%E5%BD%B1%E9%9F%BF%E9%87%8D-cofacts-%E9%8C%AF%E8%AA%A4%E8%B3%87%E8%A8%8A%E5%82%B7%E6%B0%91%E4%B8%BB-021607847.html" TargetMode="External"/><Relationship Id="rId246" Type="http://schemas.openxmlformats.org/officeDocument/2006/relationships/hyperlink" Target="https://github.blog/2024-05-23-2024-github-accelerator-meet-the-11-projects-shaping-open-source-ai/" TargetMode="External"/><Relationship Id="rId367" Type="http://schemas.openxmlformats.org/officeDocument/2006/relationships/hyperlink" Target="https://money.udn.com/money/story/122331/8112090" TargetMode="External"/><Relationship Id="rId488" Type="http://schemas.openxmlformats.org/officeDocument/2006/relationships/hyperlink" Target="https://techcrunch.com/2024/08/23/meta-and-spotify-ceos-criticize-ai-regulation-in-the-eu/" TargetMode="External"/><Relationship Id="rId124" Type="http://schemas.openxmlformats.org/officeDocument/2006/relationships/hyperlink" Target="https://money.udn.com/money/story/5613/7641796?from=edn_newestlist_cate_side" TargetMode="External"/><Relationship Id="rId245" Type="http://schemas.openxmlformats.org/officeDocument/2006/relationships/hyperlink" Target="https://github.blog/2024-05-23-2024-github-accelerator-meet-the-11-projects-shaping-open-source-ai/" TargetMode="External"/><Relationship Id="rId366" Type="http://schemas.openxmlformats.org/officeDocument/2006/relationships/hyperlink" Target="https://www.theverge.com/2024/6/28/24188391/microsoft-ai-suleyman-social-contract-freeware" TargetMode="External"/><Relationship Id="rId487" Type="http://schemas.openxmlformats.org/officeDocument/2006/relationships/hyperlink" Target="https://www.ithome.com.tw/news/164667" TargetMode="External"/><Relationship Id="rId123" Type="http://schemas.openxmlformats.org/officeDocument/2006/relationships/hyperlink" Target="https://e-info.org.tw/node/238158" TargetMode="External"/><Relationship Id="rId244" Type="http://schemas.openxmlformats.org/officeDocument/2006/relationships/hyperlink" Target="https://medium.com/opendatacharter/open-up-guide-for-care-sector-16c68a08dc41" TargetMode="External"/><Relationship Id="rId365" Type="http://schemas.openxmlformats.org/officeDocument/2006/relationships/hyperlink" Target="https://www.jpl.nasa.gov/news/mapping-the-red-planet-with-the-power-of-open-science" TargetMode="External"/><Relationship Id="rId486" Type="http://schemas.openxmlformats.org/officeDocument/2006/relationships/hyperlink" Target="https://techfreedom.org/nist-draft-guidance-inherently-hostile-to-open-source-ai-models/" TargetMode="External"/><Relationship Id="rId122" Type="http://schemas.openxmlformats.org/officeDocument/2006/relationships/hyperlink" Target="https://www.tpp.org.tw/newsdetail/3123" TargetMode="External"/><Relationship Id="rId243" Type="http://schemas.openxmlformats.org/officeDocument/2006/relationships/hyperlink" Target="https://drive.google.com/file/d/1zNnajjgToiTYegPMh-4jc8USydNSL3CI/view" TargetMode="External"/><Relationship Id="rId364" Type="http://schemas.openxmlformats.org/officeDocument/2006/relationships/hyperlink" Target="https://www.cool3c.com/article/220781" TargetMode="External"/><Relationship Id="rId485" Type="http://schemas.openxmlformats.org/officeDocument/2006/relationships/hyperlink" Target="https://www.ithome.com.tw/news/164862" TargetMode="External"/><Relationship Id="rId95" Type="http://schemas.openxmlformats.org/officeDocument/2006/relationships/hyperlink" Target="https://vocus.cc/article/654af040fd8978000162e95e" TargetMode="External"/><Relationship Id="rId94" Type="http://schemas.openxmlformats.org/officeDocument/2006/relationships/hyperlink" Target="https://tw.news.yahoo.com/%E8%87%BA%E5%8C%97%E5%B8%82%E5%86%8D%E5%A5%AA%E6%94%BF%E5%BA%9C%E8%B3%87%E6%96%99%E9%96%8B%E6%94%BE%E9%87%91%E8%B3%AA%E7%8D%8E%E6%A6%9C%E9%A6%96-%E8%B6%99%E5%BC%8F%E9%9A%86-%E6%8C%81%E7%BA%8C%E6%8E%A8%E5%BB%A3%E5%A4%A7%E7%9C%BE%E5%8F%83%E8%88%87-115748786.html" TargetMode="External"/><Relationship Id="rId97" Type="http://schemas.openxmlformats.org/officeDocument/2006/relationships/hyperlink" Target="https://www.penghu.gov.tw/ch/home.jsp?id=10088&amp;act=view&amp;dataserno=11211100007" TargetMode="External"/><Relationship Id="rId96" Type="http://schemas.openxmlformats.org/officeDocument/2006/relationships/hyperlink" Target="https://www.cna.com.tw/postwrite/chi/356308" TargetMode="External"/><Relationship Id="rId99" Type="http://schemas.openxmlformats.org/officeDocument/2006/relationships/hyperlink" Target="https://www.lifetoutiao.news/222133/" TargetMode="External"/><Relationship Id="rId480" Type="http://schemas.openxmlformats.org/officeDocument/2006/relationships/hyperlink" Target="https://openssf.org/blog/2024/09/05/simplify-sbom-management-for-developers-introducing-bomctl/" TargetMode="External"/><Relationship Id="rId98" Type="http://schemas.openxmlformats.org/officeDocument/2006/relationships/hyperlink" Target="https://money.udn.com/money/story/5635/7565630?from=edn_newestlist_cate_side" TargetMode="External"/><Relationship Id="rId91" Type="http://schemas.openxmlformats.org/officeDocument/2006/relationships/hyperlink" Target="https://www.ey.gov.tw/Page/9277F759E41CCD91/1ad86caf-2dc4-48fe-927e-5f1d5895d21b" TargetMode="External"/><Relationship Id="rId90" Type="http://schemas.openxmlformats.org/officeDocument/2006/relationships/hyperlink" Target="https://anntw.com/articles/20231106-Jrcf" TargetMode="External"/><Relationship Id="rId93" Type="http://schemas.openxmlformats.org/officeDocument/2006/relationships/hyperlink" Target="https://www.upmedia.mg/news_info.php?Type=143&amp;SerialNo=186628" TargetMode="External"/><Relationship Id="rId92" Type="http://schemas.openxmlformats.org/officeDocument/2006/relationships/hyperlink" Target="https://ocacnews.net/article/354450" TargetMode="External"/><Relationship Id="rId118" Type="http://schemas.openxmlformats.org/officeDocument/2006/relationships/hyperlink" Target="https://n.yam.com/Article/20231207372113" TargetMode="External"/><Relationship Id="rId239" Type="http://schemas.openxmlformats.org/officeDocument/2006/relationships/hyperlink" Target="https://e-info.org.tw/node/239121" TargetMode="External"/><Relationship Id="rId117" Type="http://schemas.openxmlformats.org/officeDocument/2006/relationships/hyperlink" Target="https://www.cna.com.tw/postwrite/chi/358944" TargetMode="External"/><Relationship Id="rId238" Type="http://schemas.openxmlformats.org/officeDocument/2006/relationships/hyperlink" Target="https://www.miragenews.com/world-bank-backs-bulgaria-in-data-governance-1239398/" TargetMode="External"/><Relationship Id="rId359" Type="http://schemas.openxmlformats.org/officeDocument/2006/relationships/hyperlink" Target="https://www.zdnet.com/article/suse-upgrades-its-distros-with-19-years-of-support-no-other-linux-comes-close/" TargetMode="External"/><Relationship Id="rId116" Type="http://schemas.openxmlformats.org/officeDocument/2006/relationships/hyperlink" Target="https://www.nippon.com/hk/news/yjj2023113000996/" TargetMode="External"/><Relationship Id="rId237" Type="http://schemas.openxmlformats.org/officeDocument/2006/relationships/hyperlink" Target="https://today.line.me/tw/v2/article/WBY3nyQ" TargetMode="External"/><Relationship Id="rId358" Type="http://schemas.openxmlformats.org/officeDocument/2006/relationships/hyperlink" Target="https://pketh.org/open-sourcing-kinopio.html" TargetMode="External"/><Relationship Id="rId479" Type="http://schemas.openxmlformats.org/officeDocument/2006/relationships/hyperlink" Target="https://techcrunch.com/video/industry-leaders-break-down-whats-next-in-open-source-as-a-business-model/" TargetMode="External"/><Relationship Id="rId115" Type="http://schemas.openxmlformats.org/officeDocument/2006/relationships/hyperlink" Target="https://n.yam.com/Article/20231125999081" TargetMode="External"/><Relationship Id="rId236" Type="http://schemas.openxmlformats.org/officeDocument/2006/relationships/hyperlink" Target="https://www.finextra.com/the-long-read/1000/how-to-define-cloud-sovereignty-and-the-quest-for-balance" TargetMode="External"/><Relationship Id="rId357" Type="http://schemas.openxmlformats.org/officeDocument/2006/relationships/hyperlink" Target="https://huggingface.co/open-llm-leaderboard" TargetMode="External"/><Relationship Id="rId478" Type="http://schemas.openxmlformats.org/officeDocument/2006/relationships/hyperlink" Target="https://techcrunch.com/2024/09/22/some-startups-are-going-fair-source-to-avoid-the-pitfalls-of-open-source-licensing/" TargetMode="External"/><Relationship Id="rId119" Type="http://schemas.openxmlformats.org/officeDocument/2006/relationships/hyperlink" Target="https://n.yam.com/Article/20231207382108" TargetMode="External"/><Relationship Id="rId110" Type="http://schemas.openxmlformats.org/officeDocument/2006/relationships/hyperlink" Target="https://www.cna.com.tw/postwrite/chi/357776" TargetMode="External"/><Relationship Id="rId231" Type="http://schemas.openxmlformats.org/officeDocument/2006/relationships/hyperlink" Target="https://portal.sina.com.hk/finance/finance-globenewswire/globenewswire/2024/04/16/811607/cisa-dhs-st-and-openssf-announce-global-launch-of-software-supply-chain-open-source-project/" TargetMode="External"/><Relationship Id="rId352" Type="http://schemas.openxmlformats.org/officeDocument/2006/relationships/hyperlink" Target="https://techcrunch.com/2024/06/14/meta-pauses-plans-to-train-ai-using-european-users-data-bowing-to-regulatory-pressure/" TargetMode="External"/><Relationship Id="rId473" Type="http://schemas.openxmlformats.org/officeDocument/2006/relationships/hyperlink" Target="https://www.zdnet.com/article/were-a-big-step-closer-to-defining-open-source-ai-but-not-everyone-is-happy/" TargetMode="External"/><Relationship Id="rId230" Type="http://schemas.openxmlformats.org/officeDocument/2006/relationships/hyperlink" Target="https://www.data4industry-x.com/" TargetMode="External"/><Relationship Id="rId351" Type="http://schemas.openxmlformats.org/officeDocument/2006/relationships/hyperlink" Target="https://techcrunch.com/2024/06/17/privacy-app-maker-proton-transitions-to-non-profit-foundation-structure/" TargetMode="External"/><Relationship Id="rId472" Type="http://schemas.openxmlformats.org/officeDocument/2006/relationships/hyperlink" Target="https://www.theverge.com/policy/2024/10/7/24243316/epic-google-permanent-injunction-ruling-third-party-stores" TargetMode="External"/><Relationship Id="rId593" Type="http://schemas.openxmlformats.org/officeDocument/2006/relationships/vmlDrawing" Target="../drawings/vmlDrawing1.vml"/><Relationship Id="rId350" Type="http://schemas.openxmlformats.org/officeDocument/2006/relationships/hyperlink" Target="https://berjon.com/public-interest-internet/" TargetMode="External"/><Relationship Id="rId471" Type="http://schemas.openxmlformats.org/officeDocument/2006/relationships/hyperlink" Target="https://www.dataprovenance.org/" TargetMode="External"/><Relationship Id="rId592" Type="http://schemas.openxmlformats.org/officeDocument/2006/relationships/drawing" Target="../drawings/drawing1.xml"/><Relationship Id="rId470" Type="http://schemas.openxmlformats.org/officeDocument/2006/relationships/hyperlink" Target="https://news.mit.edu/2024/study-large-language-models-datasets-lack-transparency-0830" TargetMode="External"/><Relationship Id="rId591" Type="http://schemas.openxmlformats.org/officeDocument/2006/relationships/hyperlink" Target="https://www.phoronix.com/news/Bitwarden-Open-Source-Concerns" TargetMode="External"/><Relationship Id="rId114" Type="http://schemas.openxmlformats.org/officeDocument/2006/relationships/hyperlink" Target="https://focus.586.com.tw/2023/12/04/p290884/" TargetMode="External"/><Relationship Id="rId235" Type="http://schemas.openxmlformats.org/officeDocument/2006/relationships/hyperlink" Target="https://iapp.org/news/a/a-view-from-brussels-to-be-sovereign-or-not-to-be/" TargetMode="External"/><Relationship Id="rId356" Type="http://schemas.openxmlformats.org/officeDocument/2006/relationships/hyperlink" Target="https://huggingface.co/spaces/open-llm-leaderboard/blog" TargetMode="External"/><Relationship Id="rId477" Type="http://schemas.openxmlformats.org/officeDocument/2006/relationships/hyperlink" Target="http://keygen.sh/" TargetMode="External"/><Relationship Id="rId113" Type="http://schemas.openxmlformats.org/officeDocument/2006/relationships/hyperlink" Target="https://www.rti.org.tw/news/view/id/2188131" TargetMode="External"/><Relationship Id="rId234" Type="http://schemas.openxmlformats.org/officeDocument/2006/relationships/hyperlink" Target="https://www-mondaq-com.translate.goog/unitedstates/data-protection/1455022/eu-data-act-time-to-get-started-with-compliance?_x_tr_sl=auto&amp;_x_tr_tl=zh-TW&amp;_x_tr_hl=zh-TW" TargetMode="External"/><Relationship Id="rId355" Type="http://schemas.openxmlformats.org/officeDocument/2006/relationships/hyperlink" Target="https://www.hbs.edu/" TargetMode="External"/><Relationship Id="rId476" Type="http://schemas.openxmlformats.org/officeDocument/2006/relationships/hyperlink" Target="https://savannah.gnu.org/news/?id=10684" TargetMode="External"/><Relationship Id="rId112" Type="http://schemas.openxmlformats.org/officeDocument/2006/relationships/hyperlink" Target="https://tw.news.yahoo.com/2023%E7%94%A2%E6%A5%AD%E5%89%B5%E6%96%B0%E8%AB%96%E5%A3%87-%E4%B8%A8%E7%AB%B9%E5%B8%82%E5%BA%9C%E6%94%9C%E6%89%8B%E5%89%B5%E6%96%B0%E5%89%B5%E6%A5%AD%E5%8D%94%E6%9C%83%E6%89%93%E9%80%A0%E5%AE%89%E5%BF%83%E5%89%B5%E6%A5%AD%E7%92%B0%E5%A2%83-015924557.html" TargetMode="External"/><Relationship Id="rId233" Type="http://schemas.openxmlformats.org/officeDocument/2006/relationships/hyperlink" Target="https://ec.europa.eu/commission/presscorner/detail/en/qanda_24_2251" TargetMode="External"/><Relationship Id="rId354" Type="http://schemas.openxmlformats.org/officeDocument/2006/relationships/hyperlink" Target="https://www.zdnet.com/article/how-open-source-attracts-some-of-the-worlds-top-innovators/" TargetMode="External"/><Relationship Id="rId475" Type="http://schemas.openxmlformats.org/officeDocument/2006/relationships/hyperlink" Target="https://medium.com/opendatacharter/spotlight-exploring-open-data-rankings-and-measurements-e3f755e4ba4d" TargetMode="External"/><Relationship Id="rId111" Type="http://schemas.openxmlformats.org/officeDocument/2006/relationships/hyperlink" Target="https://udn.com/news/story/7324/7596081" TargetMode="External"/><Relationship Id="rId232" Type="http://schemas.openxmlformats.org/officeDocument/2006/relationships/hyperlink" Target="https://openssf.org/" TargetMode="External"/><Relationship Id="rId353" Type="http://schemas.openxmlformats.org/officeDocument/2006/relationships/hyperlink" Target="https://world.hey.com/dhh/open-source-is-neither-a-community-nor-a-democracy-606abdab" TargetMode="External"/><Relationship Id="rId474" Type="http://schemas.openxmlformats.org/officeDocument/2006/relationships/hyperlink" Target="https://musicbrainz.org/" TargetMode="External"/><Relationship Id="rId305" Type="http://schemas.openxmlformats.org/officeDocument/2006/relationships/hyperlink" Target="https://torax.readthedocs.io/en/latest/index.html" TargetMode="External"/><Relationship Id="rId426" Type="http://schemas.openxmlformats.org/officeDocument/2006/relationships/hyperlink" Target="https://www.wdtn.com/news/business/ap-business/ap-white-house-says-no-need-to-restrict-open-source-artificial-intelligence-at-least-for-now/" TargetMode="External"/><Relationship Id="rId547" Type="http://schemas.openxmlformats.org/officeDocument/2006/relationships/hyperlink" Target="https://github.com/google/vanir" TargetMode="External"/><Relationship Id="rId304" Type="http://schemas.openxmlformats.org/officeDocument/2006/relationships/hyperlink" Target="https://www.ithome.com.tw/news/163538" TargetMode="External"/><Relationship Id="rId425" Type="http://schemas.openxmlformats.org/officeDocument/2006/relationships/hyperlink" Target="https://www.theregister.com/2024/07/17/foss_funding_vanishes_from_eus/" TargetMode="External"/><Relationship Id="rId546" Type="http://schemas.openxmlformats.org/officeDocument/2006/relationships/hyperlink" Target="https://security.googleblog.com/2024/12/announcing-launch-of-vanir-open-source.html" TargetMode="External"/><Relationship Id="rId303" Type="http://schemas.openxmlformats.org/officeDocument/2006/relationships/hyperlink" Target="https://www.ithome.com.tw/news/163490" TargetMode="External"/><Relationship Id="rId424" Type="http://schemas.openxmlformats.org/officeDocument/2006/relationships/hyperlink" Target="https://arstechnica.com/security/2024/07/code-sneaked-into-fake-aws-downloaded-hundreds-of-times-backdoored-dev-devices/" TargetMode="External"/><Relationship Id="rId545" Type="http://schemas.openxmlformats.org/officeDocument/2006/relationships/hyperlink" Target="https://kvinogradov.com/algo-sponsors/" TargetMode="External"/><Relationship Id="rId302" Type="http://schemas.openxmlformats.org/officeDocument/2006/relationships/hyperlink" Target="https://www.inoreader.com/article/3a9c6e740af8dfa9-aiai" TargetMode="External"/><Relationship Id="rId423" Type="http://schemas.openxmlformats.org/officeDocument/2006/relationships/hyperlink" Target="https://www.jvt.me/posts/2024/07/12/things-know-commits/" TargetMode="External"/><Relationship Id="rId544" Type="http://schemas.openxmlformats.org/officeDocument/2006/relationships/hyperlink" Target="https://github.com/Mohamedelrefaie/DrivAerNet" TargetMode="External"/><Relationship Id="rId309" Type="http://schemas.openxmlformats.org/officeDocument/2006/relationships/hyperlink" Target="https://openssf.org/blog/2024/06/04/openssf-case-study-enhancing-open-source-security-with-sigstore-at-stacklok/" TargetMode="External"/><Relationship Id="rId308" Type="http://schemas.openxmlformats.org/officeDocument/2006/relationships/hyperlink" Target="https://opensource.org/blog/contributions-of-open-source-to-ai-a-panel-discussion-at-cpdp-ai-conference" TargetMode="External"/><Relationship Id="rId429" Type="http://schemas.openxmlformats.org/officeDocument/2006/relationships/hyperlink" Target="https://www.tomshardware.com/software/switzerland-mandates-government-agencies-use-open-source-software" TargetMode="External"/><Relationship Id="rId307" Type="http://schemas.openxmlformats.org/officeDocument/2006/relationships/hyperlink" Target="https://www.androidauthority.com/spotify-car-thing-open-source-3449487/" TargetMode="External"/><Relationship Id="rId428" Type="http://schemas.openxmlformats.org/officeDocument/2006/relationships/hyperlink" Target="https://far.in.net/zuckerberg" TargetMode="External"/><Relationship Id="rId549" Type="http://schemas.openxmlformats.org/officeDocument/2006/relationships/hyperlink" Target="http://arstechnica.com/" TargetMode="External"/><Relationship Id="rId306" Type="http://schemas.openxmlformats.org/officeDocument/2006/relationships/hyperlink" Target="https://arstechnica.com/gadgets/2024/05/spotify-wont-open-source-car-thing-but-starts-refund-process/" TargetMode="External"/><Relationship Id="rId427" Type="http://schemas.openxmlformats.org/officeDocument/2006/relationships/hyperlink" Target="http://far.in.net/" TargetMode="External"/><Relationship Id="rId548" Type="http://schemas.openxmlformats.org/officeDocument/2006/relationships/hyperlink" Target="https://sethmlarson.dev/slop-security-reports" TargetMode="External"/><Relationship Id="rId301" Type="http://schemas.openxmlformats.org/officeDocument/2006/relationships/hyperlink" Target="https://openchainproject.org/news/2024/07/07/lfc193-bite-sized-videos" TargetMode="External"/><Relationship Id="rId422" Type="http://schemas.openxmlformats.org/officeDocument/2006/relationships/hyperlink" Target="https://opensource.net/open-source-cra-challenge/" TargetMode="External"/><Relationship Id="rId543" Type="http://schemas.openxmlformats.org/officeDocument/2006/relationships/hyperlink" Target="https://news.mit.edu/2024/design-future-car-with-8000-design-options-1205" TargetMode="External"/><Relationship Id="rId300" Type="http://schemas.openxmlformats.org/officeDocument/2006/relationships/hyperlink" Target="https://openssf.org/blog/2024/07/08/learn-how-to-develop-secure-software/" TargetMode="External"/><Relationship Id="rId421" Type="http://schemas.openxmlformats.org/officeDocument/2006/relationships/hyperlink" Target="http://opensource.net/" TargetMode="External"/><Relationship Id="rId542" Type="http://schemas.openxmlformats.org/officeDocument/2006/relationships/hyperlink" Target="https://location.foursquare.com/resources/blog/products/foursquare-open-source-places-a-new-foundational-dataset-for-the-geospatial-community/" TargetMode="External"/><Relationship Id="rId420" Type="http://schemas.openxmlformats.org/officeDocument/2006/relationships/hyperlink" Target="https://foundation.mozilla.org/en/blog/common-voice-spontaneous-speech/" TargetMode="External"/><Relationship Id="rId541" Type="http://schemas.openxmlformats.org/officeDocument/2006/relationships/hyperlink" Target="https://datacommons.org/" TargetMode="External"/><Relationship Id="rId540" Type="http://schemas.openxmlformats.org/officeDocument/2006/relationships/hyperlink" Target="https://datacommons.org/" TargetMode="External"/><Relationship Id="rId415" Type="http://schemas.openxmlformats.org/officeDocument/2006/relationships/hyperlink" Target="http://opensource.net/" TargetMode="External"/><Relationship Id="rId536" Type="http://schemas.openxmlformats.org/officeDocument/2006/relationships/hyperlink" Target="http://science.org/" TargetMode="External"/><Relationship Id="rId414" Type="http://schemas.openxmlformats.org/officeDocument/2006/relationships/hyperlink" Target="https://insights.dentons.com/328/31854/compose-email/eu-tmt.asp" TargetMode="External"/><Relationship Id="rId535" Type="http://schemas.openxmlformats.org/officeDocument/2006/relationships/hyperlink" Target="https://blog.thunderbird.net/2024/12/celebrating-20-years-of-thunderbird/" TargetMode="External"/><Relationship Id="rId413" Type="http://schemas.openxmlformats.org/officeDocument/2006/relationships/hyperlink" Target="https://www.dentons.com/en/insights/articles/2024/july/24/roadmap-of-new-and-upcoming-eu-tmt-regulations" TargetMode="External"/><Relationship Id="rId534" Type="http://schemas.openxmlformats.org/officeDocument/2006/relationships/hyperlink" Target="https://www.unesco.org/en/articles/open-data-ai-what-now" TargetMode="External"/><Relationship Id="rId412" Type="http://schemas.openxmlformats.org/officeDocument/2006/relationships/hyperlink" Target="https://www.techcentral.ie/eu-to-ireland-data-governance-matters/" TargetMode="External"/><Relationship Id="rId533" Type="http://schemas.openxmlformats.org/officeDocument/2006/relationships/hyperlink" Target="https://www.fsf.org/news/fsf-serves-on-nist" TargetMode="External"/><Relationship Id="rId419" Type="http://schemas.openxmlformats.org/officeDocument/2006/relationships/hyperlink" Target="https://spicenice.pages.dev/spices/all/" TargetMode="External"/><Relationship Id="rId418" Type="http://schemas.openxmlformats.org/officeDocument/2006/relationships/hyperlink" Target="https://dx.tips/huggingface" TargetMode="External"/><Relationship Id="rId539" Type="http://schemas.openxmlformats.org/officeDocument/2006/relationships/hyperlink" Target="http://datacommons.org/" TargetMode="External"/><Relationship Id="rId417" Type="http://schemas.openxmlformats.org/officeDocument/2006/relationships/hyperlink" Target="https://foundation.mozilla.org/en/blog/ai-training-can-undermine-the-open-web-this-team-is-thinking-through-solutions/" TargetMode="External"/><Relationship Id="rId538" Type="http://schemas.openxmlformats.org/officeDocument/2006/relationships/hyperlink" Target="http://datacommons.org/" TargetMode="External"/><Relationship Id="rId416" Type="http://schemas.openxmlformats.org/officeDocument/2006/relationships/hyperlink" Target="https://opensource.net/open-source-takes-center-stage-at-united-nations/" TargetMode="External"/><Relationship Id="rId537" Type="http://schemas.openxmlformats.org/officeDocument/2006/relationships/hyperlink" Target="https://www.science.org/content/article/google-deepmind-releases-code-behind-its-most-advanced-protein-prediction-program" TargetMode="External"/><Relationship Id="rId411" Type="http://schemas.openxmlformats.org/officeDocument/2006/relationships/hyperlink" Target="http://techcentral.ie/" TargetMode="External"/><Relationship Id="rId532" Type="http://schemas.openxmlformats.org/officeDocument/2006/relationships/hyperlink" Target="https://thelivinglib.org/exploring-the-intersections-of-open-data-and-generative-ai-recent-additions-to-the-observatory/" TargetMode="External"/><Relationship Id="rId410" Type="http://schemas.openxmlformats.org/officeDocument/2006/relationships/hyperlink" Target="https://www.theverge.com/2024/9/3/24234879/dutch-regulator-gdpr-clearview-ai-fine" TargetMode="External"/><Relationship Id="rId531" Type="http://schemas.openxmlformats.org/officeDocument/2006/relationships/hyperlink" Target="https://blog.google/outreach-initiatives/public-policy/doj-search-remedies-framework/" TargetMode="External"/><Relationship Id="rId530" Type="http://schemas.openxmlformats.org/officeDocument/2006/relationships/hyperlink" Target="https://technews.tw/2024/11/07/iii-2024-sti-tech-day/" TargetMode="External"/><Relationship Id="rId206" Type="http://schemas.openxmlformats.org/officeDocument/2006/relationships/hyperlink" Target="https://www.ithome.com.tw/news/162141" TargetMode="External"/><Relationship Id="rId327" Type="http://schemas.openxmlformats.org/officeDocument/2006/relationships/hyperlink" Target="https://medium.com/opendatacharter/spotlight-capacity-building-for-open-data-professionals-a903f07dfbef" TargetMode="External"/><Relationship Id="rId448" Type="http://schemas.openxmlformats.org/officeDocument/2006/relationships/hyperlink" Target="https://techcrunch.com/2024/07/24/backed-by-microsoft-aws-and-meta-the-overture-maps-foundation-launches-first-open-map-datasets/" TargetMode="External"/><Relationship Id="rId569" Type="http://schemas.openxmlformats.org/officeDocument/2006/relationships/hyperlink" Target="http://xuanwo.io/" TargetMode="External"/><Relationship Id="rId205" Type="http://schemas.openxmlformats.org/officeDocument/2006/relationships/hyperlink" Target="https://bluetrend.media/mcs/" TargetMode="External"/><Relationship Id="rId326" Type="http://schemas.openxmlformats.org/officeDocument/2006/relationships/hyperlink" Target="https://www.uib.no/fg/innovasjonsrett/171030/europe%E2%80%99s-digital-agenda-ai-act-final-act-search-common-principles" TargetMode="External"/><Relationship Id="rId447" Type="http://schemas.openxmlformats.org/officeDocument/2006/relationships/hyperlink" Target="https://altitude.withgoogle.com/" TargetMode="External"/><Relationship Id="rId568" Type="http://schemas.openxmlformats.org/officeDocument/2006/relationships/hyperlink" Target="https://automattic.com/2024/protecting-wordpress/" TargetMode="External"/><Relationship Id="rId204" Type="http://schemas.openxmlformats.org/officeDocument/2006/relationships/hyperlink" Target="https://www.bnext.com.tw/article/78876/taiwan-mobile-bluetrend-ai-ocean" TargetMode="External"/><Relationship Id="rId325" Type="http://schemas.openxmlformats.org/officeDocument/2006/relationships/hyperlink" Target="https://www.natureserve.org/map-biodiversity-importance" TargetMode="External"/><Relationship Id="rId446" Type="http://schemas.openxmlformats.org/officeDocument/2006/relationships/hyperlink" Target="https://techcrunch.com/2024/07/22/googles-jigsaw-open-sources-altitude-to-help-online-platforms-weed-out-extremist-content/" TargetMode="External"/><Relationship Id="rId567" Type="http://schemas.openxmlformats.org/officeDocument/2006/relationships/hyperlink" Target="http://automattic.com/" TargetMode="External"/><Relationship Id="rId203" Type="http://schemas.openxmlformats.org/officeDocument/2006/relationships/hyperlink" Target="https://www.ithome.com.tw/news/162017" TargetMode="External"/><Relationship Id="rId324" Type="http://schemas.openxmlformats.org/officeDocument/2006/relationships/hyperlink" Target="https://portal.sina.com.hk/finance/finance-globenewswire/globenewswire/2024/07/09/898214/natureserve-launches-conservation-data-portal-for-the-western-u-s-with-enhanced-map-of-biodiversity-importance/" TargetMode="External"/><Relationship Id="rId445" Type="http://schemas.openxmlformats.org/officeDocument/2006/relationships/hyperlink" Target="https://petapixel.com/2024/07/25/fujifilm-announces-linux-sdk-helping-drone-makers-use-gfx100-cameras/" TargetMode="External"/><Relationship Id="rId566" Type="http://schemas.openxmlformats.org/officeDocument/2006/relationships/hyperlink" Target="https://spectrum.ieee.org/green-concrete" TargetMode="External"/><Relationship Id="rId209" Type="http://schemas.openxmlformats.org/officeDocument/2006/relationships/hyperlink" Target="https://techcrunch.com/2024/04/11/flipboard-deepens-its-ties-to-the-open-source-social-web-aka-the-fediverse/" TargetMode="External"/><Relationship Id="rId208" Type="http://schemas.openxmlformats.org/officeDocument/2006/relationships/hyperlink" Target="https://techcrunch.com/2024/04/15/open-source-substack-rival-ghost-may-join-the-fediverse/?guccounter=1" TargetMode="External"/><Relationship Id="rId329" Type="http://schemas.openxmlformats.org/officeDocument/2006/relationships/hyperlink" Target="https://opening-up-chatgpt.github.io/" TargetMode="External"/><Relationship Id="rId207" Type="http://schemas.openxmlformats.org/officeDocument/2006/relationships/hyperlink" Target="https://www.thestack.technology/open-source-pioneer-perens-says-time-for-post-open/" TargetMode="External"/><Relationship Id="rId328" Type="http://schemas.openxmlformats.org/officeDocument/2006/relationships/hyperlink" Target="https://docs.google.com/document/d/1GHmxVXkty7UQKMPnoa1GNoOjJZXd6sW9/edit" TargetMode="External"/><Relationship Id="rId449" Type="http://schemas.openxmlformats.org/officeDocument/2006/relationships/hyperlink" Target="https://overturemaps.org/" TargetMode="External"/><Relationship Id="rId440" Type="http://schemas.openxmlformats.org/officeDocument/2006/relationships/hyperlink" Target="https://hamel.dev/blog/posts/course/" TargetMode="External"/><Relationship Id="rId561" Type="http://schemas.openxmlformats.org/officeDocument/2006/relationships/hyperlink" Target="https://techcrunch.com/2024/09/29/elastic-founder-on-why-they-returned-to-open-source-four-years-after-going-proprietary/" TargetMode="External"/><Relationship Id="rId560" Type="http://schemas.openxmlformats.org/officeDocument/2006/relationships/hyperlink" Target="https://opensource.org/blog/copyright-law-makes-a-case-for-requiring-data-information-rather-than-open-datasets-for-open-source-ai" TargetMode="External"/><Relationship Id="rId202" Type="http://schemas.openxmlformats.org/officeDocument/2006/relationships/hyperlink" Target="https://www.ithome.com.tw/news/162312" TargetMode="External"/><Relationship Id="rId323" Type="http://schemas.openxmlformats.org/officeDocument/2006/relationships/hyperlink" Target="https://ecomedia.africa/openness/" TargetMode="External"/><Relationship Id="rId444" Type="http://schemas.openxmlformats.org/officeDocument/2006/relationships/hyperlink" Target="https://punkx.org/unix-pipe-game/" TargetMode="External"/><Relationship Id="rId565" Type="http://schemas.openxmlformats.org/officeDocument/2006/relationships/hyperlink" Target="https://www.theregister.com/2024/10/25/opinion_open_washing/" TargetMode="External"/><Relationship Id="rId201" Type="http://schemas.openxmlformats.org/officeDocument/2006/relationships/hyperlink" Target="https://www.ithome.com.tw/news/162408" TargetMode="External"/><Relationship Id="rId322" Type="http://schemas.openxmlformats.org/officeDocument/2006/relationships/hyperlink" Target="https://www.ydn.com.tw/news/newsInsidePage?chapterID=1691340" TargetMode="External"/><Relationship Id="rId443" Type="http://schemas.openxmlformats.org/officeDocument/2006/relationships/hyperlink" Target="https://about.fb.com/news/2024/07/open-source-ai-is-the-path-forward/" TargetMode="External"/><Relationship Id="rId564" Type="http://schemas.openxmlformats.org/officeDocument/2006/relationships/hyperlink" Target="https://berthub.eu/articles/posts/open-source-by-itself-is-no-alternative-for-big-tech/" TargetMode="External"/><Relationship Id="rId200" Type="http://schemas.openxmlformats.org/officeDocument/2006/relationships/hyperlink" Target="https://www.inoreader.com/article/3a9c6e74cea3d2eb-what-is-green-software-and-why-do-we-need-it" TargetMode="External"/><Relationship Id="rId321" Type="http://schemas.openxmlformats.org/officeDocument/2006/relationships/hyperlink" Target="https://ossforclimate.sustainoss.org/" TargetMode="External"/><Relationship Id="rId442" Type="http://schemas.openxmlformats.org/officeDocument/2006/relationships/hyperlink" Target="https://medium.com/opendatacharter/states-open-data-and-personal-data-protection-6f1fbe1b4313" TargetMode="External"/><Relationship Id="rId563" Type="http://schemas.openxmlformats.org/officeDocument/2006/relationships/hyperlink" Target="https://github.blog/open-source/maintainers/what-the-eus-new-software-legislation-means-for-developers/" TargetMode="External"/><Relationship Id="rId320" Type="http://schemas.openxmlformats.org/officeDocument/2006/relationships/hyperlink" Target="https://opensource.net/oss-for-climate-podcast/" TargetMode="External"/><Relationship Id="rId441" Type="http://schemas.openxmlformats.org/officeDocument/2006/relationships/hyperlink" Target="https://parlance-labs.com/education/" TargetMode="External"/><Relationship Id="rId562" Type="http://schemas.openxmlformats.org/officeDocument/2006/relationships/hyperlink" Target="https://techcrunch.com/2024/10/01/sequoia-backs-pydantic-to-expand-beyond-its-open-source-data-validation-framework/" TargetMode="External"/><Relationship Id="rId316" Type="http://schemas.openxmlformats.org/officeDocument/2006/relationships/hyperlink" Target="https://yaak.app/blog/why-not-open-source" TargetMode="External"/><Relationship Id="rId437" Type="http://schemas.openxmlformats.org/officeDocument/2006/relationships/hyperlink" Target="https://openssf.org/blog/2024/08/08/whats-next-for-open-source-workshop-highlights-and-calls-to-action-to-inspire-progress-for-global-sustainability/" TargetMode="External"/><Relationship Id="rId558" Type="http://schemas.openxmlformats.org/officeDocument/2006/relationships/hyperlink" Target="http://chipwits.com/" TargetMode="External"/><Relationship Id="rId315" Type="http://schemas.openxmlformats.org/officeDocument/2006/relationships/hyperlink" Target="https://www.opensourceforu.com/2024/06/open-source-private-and-public-blockchain-platforms-what-they-offer/" TargetMode="External"/><Relationship Id="rId436" Type="http://schemas.openxmlformats.org/officeDocument/2006/relationships/hyperlink" Target="https://textbooks.aimath.org/textbooks/approved-textbooks/" TargetMode="External"/><Relationship Id="rId557" Type="http://schemas.openxmlformats.org/officeDocument/2006/relationships/hyperlink" Target="https://zenodo.org/records/14258401" TargetMode="External"/><Relationship Id="rId314" Type="http://schemas.openxmlformats.org/officeDocument/2006/relationships/hyperlink" Target="https://www.inoreader.com/article/3a9c6e740b421eca-whats-in-the-soss-podcast-7-stackloks-adolfo-garcia-veytia-digs-into-sboms-and-vex" TargetMode="External"/><Relationship Id="rId435" Type="http://schemas.openxmlformats.org/officeDocument/2006/relationships/hyperlink" Target="https://techcrunch.com/2024/08/11/a-not-quite-definitive-guide-to-open-source-alternative-software/?guccounter=1" TargetMode="External"/><Relationship Id="rId556" Type="http://schemas.openxmlformats.org/officeDocument/2006/relationships/hyperlink" Target="http://zenodo.org/" TargetMode="External"/><Relationship Id="rId313" Type="http://schemas.openxmlformats.org/officeDocument/2006/relationships/hyperlink" Target="https://openchainproject.org/news/2024/06/19/policy-briefing-series-ofe" TargetMode="External"/><Relationship Id="rId434" Type="http://schemas.openxmlformats.org/officeDocument/2006/relationships/hyperlink" Target="https://search.gov/" TargetMode="External"/><Relationship Id="rId555" Type="http://schemas.openxmlformats.org/officeDocument/2006/relationships/hyperlink" Target="https://lwn.net/SubscriberLink/998793/6c8d00bd1b2a7948/" TargetMode="External"/><Relationship Id="rId319" Type="http://schemas.openxmlformats.org/officeDocument/2006/relationships/hyperlink" Target="http://opensource.net/" TargetMode="External"/><Relationship Id="rId318" Type="http://schemas.openxmlformats.org/officeDocument/2006/relationships/hyperlink" Target="https://www.nature.com/articles/d41586-024-02012-5" TargetMode="External"/><Relationship Id="rId439" Type="http://schemas.openxmlformats.org/officeDocument/2006/relationships/hyperlink" Target="https://thenewstack.io/microsoft-linux-is-the-top-operating-system-on-azure-today/" TargetMode="External"/><Relationship Id="rId317" Type="http://schemas.openxmlformats.org/officeDocument/2006/relationships/hyperlink" Target="https://portal.sina.com.hk/finance/finance-globenewswire/globenewswire/2024/06/12/871313/open-invention-network-expands-patent-protection-for-open-source-software-developers-distributors-and-users/" TargetMode="External"/><Relationship Id="rId438" Type="http://schemas.openxmlformats.org/officeDocument/2006/relationships/hyperlink" Target="https://www.openresearchlab.org/about" TargetMode="External"/><Relationship Id="rId559" Type="http://schemas.openxmlformats.org/officeDocument/2006/relationships/hyperlink" Target="https://chipwits.com/2024/11/16/chipwits-40th-birthday-original-forth-code-open-sourced/" TargetMode="External"/><Relationship Id="rId550" Type="http://schemas.openxmlformats.org/officeDocument/2006/relationships/hyperlink" Target="https://arstechnica.com/information-technology/2024/12/company-claims-1000-percent-price-hike-drove-it-from-vmware-to-open-source-rival/" TargetMode="External"/><Relationship Id="rId312" Type="http://schemas.openxmlformats.org/officeDocument/2006/relationships/hyperlink" Target="https://github.com/OpenRailAssociation/osrd" TargetMode="External"/><Relationship Id="rId433" Type="http://schemas.openxmlformats.org/officeDocument/2006/relationships/hyperlink" Target="https://www.wired.com/story/infrared-laser-microphone-keystroke-surveillance/" TargetMode="External"/><Relationship Id="rId554" Type="http://schemas.openxmlformats.org/officeDocument/2006/relationships/hyperlink" Target="http://lwn.net/" TargetMode="External"/><Relationship Id="rId311" Type="http://schemas.openxmlformats.org/officeDocument/2006/relationships/hyperlink" Target="https://osrd.fr/en/" TargetMode="External"/><Relationship Id="rId432" Type="http://schemas.openxmlformats.org/officeDocument/2006/relationships/hyperlink" Target="https://www.wired.com/story/infrared-laser-microphone-keystroke-surveillance/" TargetMode="External"/><Relationship Id="rId553" Type="http://schemas.openxmlformats.org/officeDocument/2006/relationships/hyperlink" Target="https://publicdomainreview.org/features/entering-the-public-domain/2025/" TargetMode="External"/><Relationship Id="rId310" Type="http://schemas.openxmlformats.org/officeDocument/2006/relationships/hyperlink" Target="https://www.thegreenwebfoundation.org/news/start-calculating-digital-carbon-emissions-in-5-minutes-with-co2-js/" TargetMode="External"/><Relationship Id="rId431" Type="http://schemas.openxmlformats.org/officeDocument/2006/relationships/hyperlink" Target="https://techcrunch.com/2024/08/01/the-eus-ai-act-is-now-in-force/" TargetMode="External"/><Relationship Id="rId552" Type="http://schemas.openxmlformats.org/officeDocument/2006/relationships/hyperlink" Target="https://publicdomainreview.org/features/entering-the-public-domain/2025/" TargetMode="External"/><Relationship Id="rId430" Type="http://schemas.openxmlformats.org/officeDocument/2006/relationships/hyperlink" Target="https://techcrunch.com/2024/08/01/the-eus-ai-act-is-now-in-force/" TargetMode="External"/><Relationship Id="rId551" Type="http://schemas.openxmlformats.org/officeDocument/2006/relationships/hyperlink" Target="http://publicdomainreview.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5stardata.info/zh-TW/" TargetMode="External"/><Relationship Id="rId2" Type="http://schemas.openxmlformats.org/officeDocument/2006/relationships/hyperlink" Target="https://www.datastation.org.tw/association" TargetMode="External"/><Relationship Id="rId3" Type="http://schemas.openxmlformats.org/officeDocument/2006/relationships/hyperlink" Target="https://www.datastation.org.tw/association" TargetMode="External"/><Relationship Id="rId4" Type="http://schemas.openxmlformats.org/officeDocument/2006/relationships/hyperlink" Target="https://www.datastation.org.tw/association" TargetMode="External"/><Relationship Id="rId9" Type="http://schemas.openxmlformats.org/officeDocument/2006/relationships/hyperlink" Target="https://discourse.ubuntu.com/t/securing-ros-robotic-platforms/41871" TargetMode="External"/><Relationship Id="rId5" Type="http://schemas.openxmlformats.org/officeDocument/2006/relationships/hyperlink" Target="https://docs.google.com/presentation/d/1kRQwVOnixDDUZK7D6xx1E96cv_w742LjzLQ1io9If1Q/edit" TargetMode="External"/><Relationship Id="rId6" Type="http://schemas.openxmlformats.org/officeDocument/2006/relationships/hyperlink" Target="https://docs.google.com/presentation/d/1kRQwVOnixDDUZK7D6xx1E96cv_w742LjzLQ1io9If1Q/edit" TargetMode="External"/><Relationship Id="rId7" Type="http://schemas.openxmlformats.org/officeDocument/2006/relationships/hyperlink" Target="https://money.udn.com/money/story/5612/7518279" TargetMode="External"/><Relationship Id="rId8" Type="http://schemas.openxmlformats.org/officeDocument/2006/relationships/hyperlink" Target="https://ocacnews.net/article/352281" TargetMode="External"/><Relationship Id="rId11" Type="http://schemas.openxmlformats.org/officeDocument/2006/relationships/hyperlink" Target="https://www.ithome.com.tw/news/161573" TargetMode="External"/><Relationship Id="rId10" Type="http://schemas.openxmlformats.org/officeDocument/2006/relationships/hyperlink" Target="https://leaveisdrop1.medium.com/%E4%BD%95%E8%AC%82%E7%B8%B1%E6%B7%B1%E9%98%B2%E7%A6%A6-what-is-the-defense-in-depth-9952cc188626" TargetMode="External"/><Relationship Id="rId13" Type="http://schemas.openxmlformats.org/officeDocument/2006/relationships/hyperlink" Target="https://www.ucl.ac.uk/data-protection/guidance-staff-students-and-researchers/practical-data-protection-guidance-notices/anonymisation-and" TargetMode="External"/><Relationship Id="rId12" Type="http://schemas.openxmlformats.org/officeDocument/2006/relationships/hyperlink" Target="https://www.ithome.com.tw/news/161573" TargetMode="External"/><Relationship Id="rId15" Type="http://schemas.openxmlformats.org/officeDocument/2006/relationships/hyperlink" Target="https://www.fimmick.com/2022/03/04/crm-personally-identifiable-information-non-pii-and-personal-data/" TargetMode="External"/><Relationship Id="rId14" Type="http://schemas.openxmlformats.org/officeDocument/2006/relationships/hyperlink" Target="https://www.ucl.ac.uk/data-protection/guidance-staff-students-and-researchers/practical-data-protection-guidance-notices/anonymisation-and" TargetMode="External"/><Relationship Id="rId1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rownrms.com/tw/insights/what-is-a-records-lifecycle/" TargetMode="External"/><Relationship Id="rId2" Type="http://schemas.openxmlformats.org/officeDocument/2006/relationships/hyperlink" Target="https://opendefinition.org/od/2.1/zh-tw/" TargetMode="External"/><Relationship Id="rId3" Type="http://schemas.openxmlformats.org/officeDocument/2006/relationships/hyperlink" Target="https://opendatahandbook.org/guide/zh_TW/introduction/" TargetMode="External"/><Relationship Id="rId4" Type="http://schemas.openxmlformats.org/officeDocument/2006/relationships/hyperlink" Target="https://www-ws.gov.taipei/Download.ashx?u=LzAwMS9VcGxvYWQvMzcxL3JlbGZpbGUvMTcwMjIvMTA5MzEzLzk4MjM4YTY4LWUxMzAtNGM2Mi04MDhiLWE3ODZhM2FhZmY0YS5wZGY%3D&amp;n=5p2O5L%2BK6YGU44CB6IOh5a2f6LuS44CB6JiH5byY5bqt44CB5ZGo6Iq35LyDLeaUv%2BW6nOmWi%2BaUvuizh%2BaWmeWTgeizquS5i%2BeglOeptu%2B8muS7pURhdGEuVGFpcGVp5bmz5Y%2Bw54K65L6LLnBkZg%3D%3D&amp;icon=..pdf" TargetMode="External"/><Relationship Id="rId9" Type="http://schemas.openxmlformats.org/officeDocument/2006/relationships/hyperlink" Target="https://bost.nstc.gov.tw/Upload/UserFiles/%E5%88%86%E4%BA%AB%E6%A1%88%EF%BC%9A2_0%E7%BE%8E%E5%9C%8B%E6%94%BF%E5%BA%9C%E9%96%8B%E6%94%BE%E8%B3%87%E6%96%99%E6%8E%A8%E5%8B%95%E7%8F%BE%E6%B3%81%E8%88%87%E5%9F%B7%E8%A1%8C%E7%B6%93%E9%A9%97_%E4%B8%AD%E6%96%87.pdf" TargetMode="External"/><Relationship Id="rId5" Type="http://schemas.openxmlformats.org/officeDocument/2006/relationships/hyperlink" Target="https://docs.google.com/presentation/d/1PhuTUgT-g9OcphlOQDbS6vGRWcX-wsYMHbLEFqYs1RA/edit?pli=1" TargetMode="External"/><Relationship Id="rId6" Type="http://schemas.openxmlformats.org/officeDocument/2006/relationships/hyperlink" Target="http://lucien.cc/?p=6057" TargetMode="External"/><Relationship Id="rId7" Type="http://schemas.openxmlformats.org/officeDocument/2006/relationships/hyperlink" Target="https://stli.iii.org.tw/article-detail.aspx?no=0&amp;tp=1&amp;i=0&amp;d=8189" TargetMode="External"/><Relationship Id="rId8" Type="http://schemas.openxmlformats.org/officeDocument/2006/relationships/hyperlink" Target="https://stli.iii.org.tw/article-detail.aspx?no=64&amp;tp=1&amp;d=8241" TargetMode="External"/><Relationship Id="rId11" Type="http://schemas.openxmlformats.org/officeDocument/2006/relationships/hyperlink" Target="https://www.teg.org.tw/research/study_detail.php?gid=2307&amp;ggid=9226" TargetMode="External"/><Relationship Id="rId10" Type="http://schemas.openxmlformats.org/officeDocument/2006/relationships/hyperlink" Target="https://bost.nstc.gov.tw/Upload/UserFiles/%E5%88%86%E4%BA%AB%E6%A1%88%EF%BC%9A3_0%E8%8B%B1%E5%9C%8BOpen%20Data%E6%8E%A8%E5%8B%95%E7%B6%93%E9%A9%97_%E4%B8%AD%E6%96%87.pdf" TargetMode="External"/><Relationship Id="rId13" Type="http://schemas.openxmlformats.org/officeDocument/2006/relationships/hyperlink" Target="https://www.teg.org.tw/research/study_detail.php?gid=2307&amp;ggid=9228" TargetMode="External"/><Relationship Id="rId12" Type="http://schemas.openxmlformats.org/officeDocument/2006/relationships/hyperlink" Target="https://www.teg.org.tw/research/study_detail.php?gid=2307&amp;ggid=9225" TargetMode="External"/><Relationship Id="rId15" Type="http://schemas.openxmlformats.org/officeDocument/2006/relationships/hyperlink" Target="https://www.teg.org.tw/research/study_detail.php?gid=2307&amp;ggid=9233" TargetMode="External"/><Relationship Id="rId14" Type="http://schemas.openxmlformats.org/officeDocument/2006/relationships/hyperlink" Target="https://www.teg.org.tw/research/study_detail.php?gid=2307&amp;ggid=9232" TargetMode="External"/><Relationship Id="rId17" Type="http://schemas.openxmlformats.org/officeDocument/2006/relationships/hyperlink" Target="https://www.teg.org.tw/research/study_detail.php?gid=2307&amp;ggid=9235" TargetMode="External"/><Relationship Id="rId16" Type="http://schemas.openxmlformats.org/officeDocument/2006/relationships/hyperlink" Target="https://www.teg.org.tw/research/study_detail.php?gid=2307&amp;ggid=9234" TargetMode="External"/><Relationship Id="rId19" Type="http://schemas.openxmlformats.org/officeDocument/2006/relationships/drawing" Target="../drawings/drawing4.xml"/><Relationship Id="rId18" Type="http://schemas.openxmlformats.org/officeDocument/2006/relationships/hyperlink" Target="https://www.teg.org.tw/research/history_detail.php?gid=9351"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ey.gov.tw/Page/4EC2394BE4EE9DD0/1cd200d2-f113-4932-a993-8811bbc3d6fd" TargetMode="External"/><Relationship Id="rId9" Type="http://schemas.openxmlformats.org/officeDocument/2006/relationships/drawing" Target="../drawings/drawing5.xml"/><Relationship Id="rId5" Type="http://schemas.openxmlformats.org/officeDocument/2006/relationships/hyperlink" Target="https://drive.google.com/file/d/1jcgRilehiGzbfms6ROWO7BZH5e-eVOrk/view" TargetMode="External"/><Relationship Id="rId6" Type="http://schemas.openxmlformats.org/officeDocument/2006/relationships/hyperlink" Target="https://youtu.be/JTUyUoGR0mM" TargetMode="External"/><Relationship Id="rId7" Type="http://schemas.openxmlformats.org/officeDocument/2006/relationships/hyperlink" Target="https://drive.google.com/drive/folders/1Kv-Sy9lXkQcONNwxnZfihs4yi4YYx33w?usp=sharing" TargetMode="External"/><Relationship Id="rId8" Type="http://schemas.openxmlformats.org/officeDocument/2006/relationships/hyperlink" Target="https://moda.gov.tw/digital-affairs/plural-innovation/operations/244" TargetMode="External"/><Relationship Id="rId10"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hyperlink" Target="http://dataportal.asia/"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aw.moj.gov.tw/LawClass/LawAll.aspx?PCode=I0020026" TargetMode="External"/><Relationship Id="rId2" Type="http://schemas.openxmlformats.org/officeDocument/2006/relationships/hyperlink" Target="https://law.moj.gov.tw/LawClass/LawAll.aspx?PCode=I0020026" TargetMode="External"/><Relationship Id="rId3" Type="http://schemas.openxmlformats.org/officeDocument/2006/relationships/hyperlink" Target="https://law.moj.gov.tw/LawClass/LawAll.aspx?PCode=I0050021" TargetMode="External"/><Relationship Id="rId4" Type="http://schemas.openxmlformats.org/officeDocument/2006/relationships/hyperlink" Target="https://law.moj.gov.tw/LawClass/LawAll.aspx?PCode=I0050021" TargetMode="External"/><Relationship Id="rId9" Type="http://schemas.openxmlformats.org/officeDocument/2006/relationships/hyperlink" Target="https://moda.gov.tw/digital-affairs/plural-innovation/operations/244" TargetMode="External"/><Relationship Id="rId5" Type="http://schemas.openxmlformats.org/officeDocument/2006/relationships/hyperlink" Target="https://law.moj.gov.tw/LawClass/LawAll.aspx?pcode=G0340107" TargetMode="External"/><Relationship Id="rId6" Type="http://schemas.openxmlformats.org/officeDocument/2006/relationships/hyperlink" Target="https://law.moj.gov.tw/LawClass/LawAll.aspx?pcode=G0340107" TargetMode="External"/><Relationship Id="rId7" Type="http://schemas.openxmlformats.org/officeDocument/2006/relationships/hyperlink" Target="https://moda.gov.tw/digital-affairs/plural-innovation/operations/244" TargetMode="External"/><Relationship Id="rId8" Type="http://schemas.openxmlformats.org/officeDocument/2006/relationships/hyperlink" Target="https://www-api.moda.gov.tw/File/Get/moda/zh-tw/btaC35znK3gNgp3" TargetMode="External"/><Relationship Id="rId40" Type="http://schemas.openxmlformats.org/officeDocument/2006/relationships/hyperlink" Target="https://www.cdo.gov/public-meeting-2023/" TargetMode="External"/><Relationship Id="rId42" Type="http://schemas.openxmlformats.org/officeDocument/2006/relationships/hyperlink" Target="https://opendata.isoc.hk/" TargetMode="External"/><Relationship Id="rId41" Type="http://schemas.openxmlformats.org/officeDocument/2006/relationships/hyperlink" Target="https://ws.ndc.gov.tw/Download.ashx?u=LzAwMS9hZG1pbmlzdHJhdG9yLzEwL3JlbGZpbGUvMC8xNDUyMC83ZDcyMzgyNy1hNjhiLTQyZmItOGViNS1iMWFiNDM3MGNjYzkucGRm&amp;n=MDEt5a6M5YKZ5pS%2F5bqc6LOH5paZ6ZaL5pS%2B6IiH5YaN5Yip55So5Yi25bqmLnBkZg%3D%3D&amp;icon=..pdf" TargetMode="External"/><Relationship Id="rId44" Type="http://schemas.openxmlformats.org/officeDocument/2006/relationships/hyperlink" Target="https://www.adalovelaceinstitute.org/project/rethinking-data/" TargetMode="External"/><Relationship Id="rId43" Type="http://schemas.openxmlformats.org/officeDocument/2006/relationships/hyperlink" Target="https://www.adalovelaceinstitute.org/our-work/projects/" TargetMode="External"/><Relationship Id="rId46" Type="http://schemas.openxmlformats.org/officeDocument/2006/relationships/drawing" Target="../drawings/drawing7.xml"/><Relationship Id="rId45" Type="http://schemas.openxmlformats.org/officeDocument/2006/relationships/hyperlink" Target="https://dep-administration.hccg.gov.tw/uploaddowndoc?file=downloadfile/201709080938570.pdf&amp;filedisplay=%E6%96%B0%E7%AB%B9%E5%B8%82%E6%94%BF%E5%BA%9C%E5%8F%8A%E6%89%80%E5%B1%AC%E6%A9%9F%E9%97%9C%E8%B3%87%E6%96%99%E9%96%8B%E6%94%BE%E4%BD%9C%E6%A5%AD%E5%8E%9F%E5%89%87.pdf&amp;flag=doc" TargetMode="External"/><Relationship Id="rId31" Type="http://schemas.openxmlformats.org/officeDocument/2006/relationships/hyperlink" Target="http://index.okfn.org/place.html" TargetMode="External"/><Relationship Id="rId30" Type="http://schemas.openxmlformats.org/officeDocument/2006/relationships/hyperlink" Target="https://www-api.moda.gov.tw/File/Get/moda/zh-tw/j2PudCIQdzpeo8x" TargetMode="External"/><Relationship Id="rId33" Type="http://schemas.openxmlformats.org/officeDocument/2006/relationships/hyperlink" Target="https://www.rti-rating.org/" TargetMode="External"/><Relationship Id="rId32" Type="http://schemas.openxmlformats.org/officeDocument/2006/relationships/hyperlink" Target="http://index.okfn.org/methodology/index.html" TargetMode="External"/><Relationship Id="rId35" Type="http://schemas.openxmlformats.org/officeDocument/2006/relationships/hyperlink" Target="https://data.europa.eu/" TargetMode="External"/><Relationship Id="rId34" Type="http://schemas.openxmlformats.org/officeDocument/2006/relationships/hyperlink" Target="https://www.rti-rating.org/country-detail/?country=Taiwan" TargetMode="External"/><Relationship Id="rId37" Type="http://schemas.openxmlformats.org/officeDocument/2006/relationships/hyperlink" Target="https://eur-lex.europa.eu/eli/dir/2019/1024" TargetMode="External"/><Relationship Id="rId36" Type="http://schemas.openxmlformats.org/officeDocument/2006/relationships/hyperlink" Target="https://data.europa.eu/en/news-events/news/open-data-maturity-report-2022-out" TargetMode="External"/><Relationship Id="rId39" Type="http://schemas.openxmlformats.org/officeDocument/2006/relationships/hyperlink" Target="https://www.cdo.gov/index.html" TargetMode="External"/><Relationship Id="rId38" Type="http://schemas.openxmlformats.org/officeDocument/2006/relationships/hyperlink" Target="https://eur-lex.europa.eu/legal-content/EN/TXT/?qid=1561563110433&amp;uri=CELEX:32019L1024" TargetMode="External"/><Relationship Id="rId20" Type="http://schemas.openxmlformats.org/officeDocument/2006/relationships/hyperlink" Target="https://data.gov.tw/licenses" TargetMode="External"/><Relationship Id="rId22" Type="http://schemas.openxmlformats.org/officeDocument/2006/relationships/hyperlink" Target="https://moda.gov.tw/digital-affairs/plural-innovation/operations/244" TargetMode="External"/><Relationship Id="rId21" Type="http://schemas.openxmlformats.org/officeDocument/2006/relationships/hyperlink" Target="https://data.gov.tw/licenses" TargetMode="External"/><Relationship Id="rId24" Type="http://schemas.openxmlformats.org/officeDocument/2006/relationships/hyperlink" Target="https://moda.gov.tw/digital-affairs/plural-innovation/operations/244" TargetMode="External"/><Relationship Id="rId23" Type="http://schemas.openxmlformats.org/officeDocument/2006/relationships/hyperlink" Target="https://www-api.moda.gov.tw/File/Get/moda/zh-tw/3PxhlMmajyWV88A" TargetMode="External"/><Relationship Id="rId26" Type="http://schemas.openxmlformats.org/officeDocument/2006/relationships/hyperlink" Target="https://law.moj.gov.tw/LawClass/LawAll.aspx?pcode=D0060114" TargetMode="External"/><Relationship Id="rId25" Type="http://schemas.openxmlformats.org/officeDocument/2006/relationships/hyperlink" Target="https://www-api.moda.gov.tw/File/Get/moda/zh-tw/ly01IbXcoGBjveh" TargetMode="External"/><Relationship Id="rId28" Type="http://schemas.openxmlformats.org/officeDocument/2006/relationships/hyperlink" Target="https://law.moj.gov.tw/LawClass/LawAll.aspx?pcode=A0020134" TargetMode="External"/><Relationship Id="rId27" Type="http://schemas.openxmlformats.org/officeDocument/2006/relationships/hyperlink" Target="https://law.moj.gov.tw/LawClass/LawAll.aspx?pcode=D0060114" TargetMode="External"/><Relationship Id="rId29" Type="http://schemas.openxmlformats.org/officeDocument/2006/relationships/hyperlink" Target="https://moda.gov.tw/digital-affairs/plural-innovation/operations/244" TargetMode="External"/><Relationship Id="rId11" Type="http://schemas.openxmlformats.org/officeDocument/2006/relationships/hyperlink" Target="https://moda.gov.tw/digital-affairs/plural-innovation/operations/244" TargetMode="External"/><Relationship Id="rId10" Type="http://schemas.openxmlformats.org/officeDocument/2006/relationships/hyperlink" Target="https://www-api.moda.gov.tw/File/Get/moda/zh-tw/DWrpKr7saSdwPR5" TargetMode="External"/><Relationship Id="rId13" Type="http://schemas.openxmlformats.org/officeDocument/2006/relationships/hyperlink" Target="https://moda.gov.tw/digital-affairs/plural-innovation/operations/244" TargetMode="External"/><Relationship Id="rId12" Type="http://schemas.openxmlformats.org/officeDocument/2006/relationships/hyperlink" Target="https://www-api.moda.gov.tw/File/Get/moda/zh-tw/8fAFpJruOrV9dyn" TargetMode="External"/><Relationship Id="rId15" Type="http://schemas.openxmlformats.org/officeDocument/2006/relationships/hyperlink" Target="https://data.gov.tw/licenses" TargetMode="External"/><Relationship Id="rId14" Type="http://schemas.openxmlformats.org/officeDocument/2006/relationships/hyperlink" Target="https://www-api.moda.gov.tw/File/Get/moda/zh-tw/fQNPOEqFpMpWwT3" TargetMode="External"/><Relationship Id="rId17" Type="http://schemas.openxmlformats.org/officeDocument/2006/relationships/hyperlink" Target="https://theme.ndc.gov.tw/lawout/LawContentSource.aspx?id=GL000226" TargetMode="External"/><Relationship Id="rId16" Type="http://schemas.openxmlformats.org/officeDocument/2006/relationships/hyperlink" Target="https://data.gov.tw/license" TargetMode="External"/><Relationship Id="rId19" Type="http://schemas.openxmlformats.org/officeDocument/2006/relationships/hyperlink" Target="https://www-api.moda.gov.tw/File/Get/GuK3jwwfiwFOsnT" TargetMode="External"/><Relationship Id="rId18" Type="http://schemas.openxmlformats.org/officeDocument/2006/relationships/hyperlink" Target="https://moda.gov.tw/digital-affairs/plural-innovation/operations/24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K3YYPNVNOIB2ky5slemByG9_Jl8yOdruUUDwj7B3ZDw/edit" TargetMode="External"/><Relationship Id="rId2" Type="http://schemas.openxmlformats.org/officeDocument/2006/relationships/hyperlink" Target="https://docs.google.com/document/d/1idYZZqxSQ5xmDM2ImnXfdjvhsIWbbiLUHMlugKSDpns/edit" TargetMode="External"/><Relationship Id="rId3" Type="http://schemas.openxmlformats.org/officeDocument/2006/relationships/hyperlink" Target="https://docs.google.com/document/d/1K3YYPNVNOIB2ky5slemByG9_Jl8yOdruUUDwj7B3ZDw/edit" TargetMode="External"/><Relationship Id="rId4" Type="http://schemas.openxmlformats.org/officeDocument/2006/relationships/hyperlink" Target="https://docs.google.com/document/d/1K3YYPNVNOIB2ky5slemByG9_Jl8yOdruUUDwj7B3ZDw/edit"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Row="1"/>
  <cols>
    <col customWidth="1" min="1" max="1" width="9.63"/>
    <col customWidth="1" min="2" max="2" width="10.88"/>
    <col customWidth="1" min="3" max="3" width="10.5"/>
    <col customWidth="1" min="4" max="4" width="14.63"/>
    <col customWidth="1" min="6" max="6" width="47.88"/>
    <col customWidth="1" min="7" max="7" width="16.0"/>
    <col customWidth="1" min="9" max="9" width="10.88"/>
    <col customWidth="1" min="10" max="11" width="8.38"/>
    <col customWidth="1" min="12" max="12" width="13.25"/>
    <col customWidth="1" min="14" max="14" width="17.88"/>
    <col customWidth="1" min="15" max="15" width="42.5"/>
    <col customWidth="1" min="16" max="28" width="26.0"/>
  </cols>
  <sheetData>
    <row r="1">
      <c r="A1" s="1" t="s">
        <v>0</v>
      </c>
      <c r="B1" s="1" t="s">
        <v>1</v>
      </c>
      <c r="C1" s="1" t="s">
        <v>2</v>
      </c>
      <c r="D1" s="1" t="s">
        <v>3</v>
      </c>
      <c r="E1" s="2" t="s">
        <v>4</v>
      </c>
      <c r="F1" s="1" t="s">
        <v>5</v>
      </c>
      <c r="G1" s="1" t="s">
        <v>6</v>
      </c>
      <c r="H1" s="3" t="s">
        <v>7</v>
      </c>
      <c r="I1" s="4" t="s">
        <v>8</v>
      </c>
      <c r="J1" s="4" t="s">
        <v>9</v>
      </c>
      <c r="K1" s="4" t="s">
        <v>10</v>
      </c>
      <c r="L1" s="1" t="s">
        <v>11</v>
      </c>
      <c r="M1" s="1" t="s">
        <v>12</v>
      </c>
      <c r="N1" s="1" t="s">
        <v>13</v>
      </c>
      <c r="O1" s="1" t="s">
        <v>14</v>
      </c>
      <c r="P1" s="1"/>
      <c r="Q1" s="1"/>
      <c r="R1" s="1"/>
      <c r="S1" s="1"/>
      <c r="T1" s="1"/>
      <c r="U1" s="1"/>
      <c r="V1" s="1"/>
      <c r="W1" s="1"/>
      <c r="X1" s="1"/>
      <c r="Y1" s="1"/>
      <c r="Z1" s="1"/>
      <c r="AA1" s="1"/>
      <c r="AB1" s="1"/>
    </row>
    <row r="2">
      <c r="A2" s="1"/>
      <c r="B2" s="4"/>
      <c r="C2" s="1"/>
      <c r="D2" s="1"/>
      <c r="E2" s="2" t="s">
        <v>15</v>
      </c>
      <c r="F2" s="1"/>
      <c r="G2" s="5"/>
      <c r="H2" s="3"/>
      <c r="I2" s="4"/>
      <c r="J2" s="4" t="b">
        <v>0</v>
      </c>
      <c r="K2" s="4" t="b">
        <v>0</v>
      </c>
      <c r="L2" s="1"/>
      <c r="M2" s="1"/>
      <c r="N2" s="6"/>
      <c r="O2" s="6"/>
      <c r="P2" s="6"/>
      <c r="Q2" s="6"/>
      <c r="R2" s="6"/>
      <c r="S2" s="6"/>
      <c r="T2" s="6"/>
      <c r="U2" s="6"/>
      <c r="V2" s="6"/>
      <c r="W2" s="6"/>
      <c r="X2" s="6"/>
      <c r="Y2" s="6"/>
      <c r="Z2" s="6"/>
      <c r="AA2" s="6"/>
      <c r="AB2" s="6"/>
    </row>
    <row r="3" hidden="1" outlineLevel="1">
      <c r="A3" s="1"/>
      <c r="B3" s="4"/>
      <c r="C3" s="1"/>
      <c r="D3" s="1"/>
      <c r="E3" s="2" t="s">
        <v>16</v>
      </c>
      <c r="F3" s="1" t="s">
        <v>17</v>
      </c>
      <c r="G3" s="7" t="s">
        <v>18</v>
      </c>
      <c r="H3" s="3"/>
      <c r="I3" s="4"/>
      <c r="J3" s="4" t="b">
        <v>0</v>
      </c>
      <c r="K3" s="4" t="b">
        <v>0</v>
      </c>
      <c r="L3" s="1"/>
      <c r="M3" s="1" t="s">
        <v>19</v>
      </c>
      <c r="N3" s="6"/>
      <c r="O3" s="6"/>
      <c r="P3" s="6"/>
      <c r="Q3" s="6"/>
      <c r="R3" s="6"/>
      <c r="S3" s="6"/>
      <c r="T3" s="6"/>
      <c r="U3" s="6"/>
      <c r="V3" s="6"/>
      <c r="W3" s="6"/>
      <c r="X3" s="6"/>
      <c r="Y3" s="6"/>
      <c r="Z3" s="6"/>
      <c r="AA3" s="6"/>
      <c r="AB3" s="6"/>
    </row>
    <row r="4" hidden="1" outlineLevel="1">
      <c r="A4" s="1"/>
      <c r="B4" s="1"/>
      <c r="C4" s="1"/>
      <c r="D4" s="1"/>
      <c r="E4" s="2" t="s">
        <v>20</v>
      </c>
      <c r="F4" s="1" t="s">
        <v>21</v>
      </c>
      <c r="G4" s="7" t="s">
        <v>22</v>
      </c>
      <c r="H4" s="3"/>
      <c r="I4" s="4"/>
      <c r="J4" s="4" t="b">
        <v>0</v>
      </c>
      <c r="K4" s="4" t="b">
        <v>0</v>
      </c>
      <c r="L4" s="1"/>
      <c r="M4" s="1" t="s">
        <v>19</v>
      </c>
      <c r="N4" s="6"/>
      <c r="O4" s="6"/>
      <c r="P4" s="6"/>
      <c r="Q4" s="6"/>
      <c r="R4" s="6"/>
      <c r="S4" s="6"/>
      <c r="T4" s="6"/>
      <c r="U4" s="6"/>
      <c r="V4" s="6"/>
      <c r="W4" s="6"/>
      <c r="X4" s="6"/>
      <c r="Y4" s="6"/>
      <c r="Z4" s="6"/>
      <c r="AA4" s="6"/>
      <c r="AB4" s="6"/>
    </row>
    <row r="5" collapsed="1">
      <c r="A5" s="1"/>
      <c r="B5" s="1"/>
      <c r="C5" s="1"/>
      <c r="D5" s="1"/>
      <c r="E5" s="2" t="s">
        <v>23</v>
      </c>
      <c r="F5" s="1"/>
      <c r="G5" s="5"/>
      <c r="H5" s="3"/>
      <c r="I5" s="4"/>
      <c r="J5" s="4" t="b">
        <v>0</v>
      </c>
      <c r="K5" s="4" t="b">
        <v>0</v>
      </c>
      <c r="L5" s="1"/>
      <c r="M5" s="1"/>
      <c r="N5" s="6"/>
      <c r="O5" s="6"/>
      <c r="P5" s="6"/>
      <c r="Q5" s="6"/>
      <c r="R5" s="6"/>
      <c r="S5" s="6"/>
      <c r="T5" s="6"/>
      <c r="U5" s="6"/>
      <c r="V5" s="6"/>
      <c r="W5" s="6"/>
      <c r="X5" s="6"/>
      <c r="Y5" s="6"/>
      <c r="Z5" s="6"/>
      <c r="AA5" s="6"/>
      <c r="AB5" s="6"/>
    </row>
    <row r="6" hidden="1" outlineLevel="1">
      <c r="A6" s="1"/>
      <c r="B6" s="1"/>
      <c r="C6" s="1"/>
      <c r="D6" s="1"/>
      <c r="E6" s="2" t="s">
        <v>24</v>
      </c>
      <c r="F6" s="1" t="s">
        <v>25</v>
      </c>
      <c r="G6" s="7" t="s">
        <v>26</v>
      </c>
      <c r="H6" s="8" t="s">
        <v>27</v>
      </c>
      <c r="I6" s="4"/>
      <c r="J6" s="4" t="b">
        <v>0</v>
      </c>
      <c r="K6" s="4" t="b">
        <v>0</v>
      </c>
      <c r="L6" s="1" t="s">
        <v>28</v>
      </c>
      <c r="M6" s="1" t="s">
        <v>19</v>
      </c>
      <c r="N6" s="6"/>
      <c r="O6" s="6"/>
      <c r="P6" s="6"/>
      <c r="Q6" s="6"/>
      <c r="R6" s="6"/>
      <c r="S6" s="6"/>
      <c r="T6" s="6"/>
      <c r="U6" s="6"/>
      <c r="V6" s="6"/>
      <c r="W6" s="6"/>
      <c r="X6" s="6"/>
      <c r="Y6" s="6"/>
      <c r="Z6" s="6"/>
      <c r="AA6" s="6"/>
      <c r="AB6" s="6"/>
    </row>
    <row r="7" hidden="1" outlineLevel="1">
      <c r="A7" s="1"/>
      <c r="B7" s="1"/>
      <c r="C7" s="1"/>
      <c r="D7" s="5"/>
      <c r="E7" s="2" t="s">
        <v>29</v>
      </c>
      <c r="F7" s="1" t="s">
        <v>30</v>
      </c>
      <c r="G7" s="7" t="s">
        <v>31</v>
      </c>
      <c r="H7" s="9" t="s">
        <v>32</v>
      </c>
      <c r="I7" s="4"/>
      <c r="J7" s="4" t="b">
        <v>0</v>
      </c>
      <c r="K7" s="4" t="b">
        <v>0</v>
      </c>
      <c r="L7" s="1" t="s">
        <v>33</v>
      </c>
      <c r="M7" s="1" t="s">
        <v>34</v>
      </c>
      <c r="N7" s="6"/>
      <c r="O7" s="6"/>
      <c r="P7" s="6"/>
      <c r="Q7" s="6"/>
      <c r="R7" s="6"/>
      <c r="S7" s="6"/>
      <c r="T7" s="6"/>
      <c r="U7" s="6"/>
      <c r="V7" s="6"/>
      <c r="W7" s="6"/>
      <c r="X7" s="6"/>
      <c r="Y7" s="6"/>
      <c r="Z7" s="6"/>
      <c r="AA7" s="6"/>
      <c r="AB7" s="6"/>
    </row>
    <row r="8" hidden="1" outlineLevel="1">
      <c r="A8" s="1"/>
      <c r="B8" s="1"/>
      <c r="C8" s="1"/>
      <c r="D8" s="1"/>
      <c r="E8" s="2" t="s">
        <v>35</v>
      </c>
      <c r="F8" s="1" t="s">
        <v>36</v>
      </c>
      <c r="G8" s="10" t="s">
        <v>37</v>
      </c>
      <c r="H8" s="9" t="s">
        <v>27</v>
      </c>
      <c r="I8" s="11"/>
      <c r="J8" s="11" t="b">
        <v>0</v>
      </c>
      <c r="K8" s="11" t="b">
        <v>0</v>
      </c>
      <c r="L8" s="12" t="s">
        <v>38</v>
      </c>
      <c r="M8" s="1" t="s">
        <v>34</v>
      </c>
      <c r="N8" s="6"/>
      <c r="O8" s="6"/>
      <c r="P8" s="6"/>
      <c r="Q8" s="6"/>
      <c r="R8" s="6"/>
      <c r="S8" s="6"/>
      <c r="T8" s="6"/>
      <c r="U8" s="6"/>
      <c r="V8" s="6"/>
      <c r="W8" s="6"/>
      <c r="X8" s="6"/>
      <c r="Y8" s="6"/>
      <c r="Z8" s="6"/>
      <c r="AA8" s="6"/>
      <c r="AB8" s="6"/>
    </row>
    <row r="9" hidden="1" outlineLevel="1">
      <c r="A9" s="1"/>
      <c r="B9" s="1"/>
      <c r="C9" s="1"/>
      <c r="D9" s="1"/>
      <c r="E9" s="2" t="s">
        <v>39</v>
      </c>
      <c r="F9" s="1" t="s">
        <v>40</v>
      </c>
      <c r="G9" s="10" t="s">
        <v>41</v>
      </c>
      <c r="H9" s="9" t="s">
        <v>42</v>
      </c>
      <c r="I9" s="4"/>
      <c r="J9" s="4" t="b">
        <v>0</v>
      </c>
      <c r="K9" s="4" t="b">
        <v>0</v>
      </c>
      <c r="L9" s="1" t="s">
        <v>43</v>
      </c>
      <c r="M9" s="1" t="s">
        <v>34</v>
      </c>
      <c r="N9" s="6"/>
      <c r="O9" s="6"/>
      <c r="P9" s="6"/>
      <c r="Q9" s="6"/>
      <c r="R9" s="6"/>
      <c r="S9" s="6"/>
      <c r="T9" s="6"/>
      <c r="U9" s="6"/>
      <c r="V9" s="6"/>
      <c r="W9" s="6"/>
      <c r="X9" s="6"/>
      <c r="Y9" s="6"/>
      <c r="Z9" s="6"/>
      <c r="AA9" s="6"/>
      <c r="AB9" s="6"/>
    </row>
    <row r="10" hidden="1" outlineLevel="1">
      <c r="A10" s="1"/>
      <c r="B10" s="4"/>
      <c r="C10" s="1"/>
      <c r="D10" s="1"/>
      <c r="E10" s="2" t="s">
        <v>44</v>
      </c>
      <c r="F10" s="1" t="s">
        <v>45</v>
      </c>
      <c r="G10" s="10" t="s">
        <v>46</v>
      </c>
      <c r="H10" s="9" t="s">
        <v>42</v>
      </c>
      <c r="I10" s="4"/>
      <c r="J10" s="4" t="b">
        <v>0</v>
      </c>
      <c r="K10" s="4" t="b">
        <v>0</v>
      </c>
      <c r="L10" s="1" t="s">
        <v>43</v>
      </c>
      <c r="M10" s="1" t="s">
        <v>34</v>
      </c>
      <c r="N10" s="6"/>
      <c r="O10" s="6"/>
      <c r="P10" s="6"/>
      <c r="Q10" s="6"/>
      <c r="R10" s="6"/>
      <c r="S10" s="6"/>
      <c r="T10" s="6"/>
      <c r="U10" s="6"/>
      <c r="V10" s="6"/>
      <c r="W10" s="6"/>
      <c r="X10" s="6"/>
      <c r="Y10" s="6"/>
      <c r="Z10" s="6"/>
      <c r="AA10" s="6"/>
      <c r="AB10" s="6"/>
    </row>
    <row r="11" hidden="1" outlineLevel="1">
      <c r="A11" s="1"/>
      <c r="B11" s="4"/>
      <c r="C11" s="1"/>
      <c r="D11" s="1"/>
      <c r="E11" s="2" t="s">
        <v>47</v>
      </c>
      <c r="F11" s="1" t="s">
        <v>48</v>
      </c>
      <c r="G11" s="10" t="s">
        <v>49</v>
      </c>
      <c r="H11" s="9" t="s">
        <v>42</v>
      </c>
      <c r="I11" s="13"/>
      <c r="J11" s="13" t="b">
        <v>0</v>
      </c>
      <c r="K11" s="13" t="b">
        <v>0</v>
      </c>
      <c r="L11" s="6"/>
      <c r="M11" s="6"/>
      <c r="N11" s="6"/>
      <c r="O11" s="6"/>
      <c r="P11" s="6"/>
      <c r="Q11" s="6"/>
      <c r="R11" s="6"/>
      <c r="S11" s="6"/>
      <c r="T11" s="6"/>
      <c r="U11" s="6"/>
      <c r="V11" s="6"/>
      <c r="W11" s="6"/>
      <c r="X11" s="6"/>
      <c r="Y11" s="6"/>
      <c r="Z11" s="6"/>
      <c r="AA11" s="6"/>
      <c r="AB11" s="6"/>
    </row>
    <row r="12" hidden="1" outlineLevel="1">
      <c r="A12" s="1"/>
      <c r="B12" s="1"/>
      <c r="C12" s="1"/>
      <c r="D12" s="6"/>
      <c r="E12" s="2"/>
      <c r="F12" s="6"/>
      <c r="G12" s="6"/>
      <c r="H12" s="8" t="s">
        <v>50</v>
      </c>
      <c r="I12" s="13"/>
      <c r="J12" s="13" t="b">
        <v>0</v>
      </c>
      <c r="K12" s="13" t="b">
        <v>0</v>
      </c>
      <c r="L12" s="6"/>
      <c r="M12" s="6"/>
      <c r="N12" s="6"/>
      <c r="O12" s="6"/>
      <c r="P12" s="6"/>
      <c r="Q12" s="6"/>
      <c r="R12" s="6"/>
      <c r="S12" s="6"/>
      <c r="T12" s="6"/>
      <c r="U12" s="6"/>
      <c r="V12" s="6"/>
      <c r="W12" s="6"/>
      <c r="X12" s="6"/>
      <c r="Y12" s="6"/>
      <c r="Z12" s="6"/>
      <c r="AA12" s="6"/>
      <c r="AB12" s="6"/>
    </row>
    <row r="13" hidden="1" outlineLevel="1">
      <c r="A13" s="1"/>
      <c r="B13" s="1"/>
      <c r="C13" s="1"/>
      <c r="D13" s="1"/>
      <c r="E13" s="2" t="s">
        <v>51</v>
      </c>
      <c r="F13" s="1" t="s">
        <v>52</v>
      </c>
      <c r="G13" s="10" t="s">
        <v>53</v>
      </c>
      <c r="H13" s="14"/>
      <c r="I13" s="13"/>
      <c r="J13" s="13" t="b">
        <v>0</v>
      </c>
      <c r="K13" s="13" t="b">
        <v>0</v>
      </c>
      <c r="L13" s="6"/>
      <c r="M13" s="6"/>
      <c r="N13" s="6"/>
      <c r="O13" s="6"/>
      <c r="P13" s="6"/>
      <c r="Q13" s="6"/>
      <c r="R13" s="6"/>
      <c r="S13" s="6"/>
      <c r="T13" s="6"/>
      <c r="U13" s="6"/>
      <c r="V13" s="6"/>
      <c r="W13" s="6"/>
      <c r="X13" s="6"/>
      <c r="Y13" s="6"/>
      <c r="Z13" s="6"/>
      <c r="AA13" s="6"/>
      <c r="AB13" s="6"/>
    </row>
    <row r="14" hidden="1" outlineLevel="1">
      <c r="A14" s="1"/>
      <c r="B14" s="1"/>
      <c r="C14" s="1"/>
      <c r="D14" s="1"/>
      <c r="E14" s="2" t="s">
        <v>54</v>
      </c>
      <c r="F14" s="1" t="s">
        <v>55</v>
      </c>
      <c r="G14" s="7" t="s">
        <v>56</v>
      </c>
      <c r="H14" s="8" t="s">
        <v>57</v>
      </c>
      <c r="I14" s="4"/>
      <c r="J14" s="4" t="b">
        <v>0</v>
      </c>
      <c r="K14" s="4" t="b">
        <v>0</v>
      </c>
      <c r="L14" s="1" t="s">
        <v>58</v>
      </c>
      <c r="M14" s="15" t="s">
        <v>54</v>
      </c>
      <c r="N14" s="6"/>
      <c r="O14" s="6"/>
      <c r="P14" s="6"/>
      <c r="Q14" s="6"/>
      <c r="R14" s="6"/>
      <c r="S14" s="6"/>
      <c r="T14" s="6"/>
      <c r="U14" s="6"/>
      <c r="V14" s="6"/>
      <c r="W14" s="6"/>
      <c r="X14" s="6"/>
      <c r="Y14" s="6"/>
      <c r="Z14" s="6"/>
      <c r="AA14" s="6"/>
      <c r="AB14" s="6"/>
    </row>
    <row r="15" hidden="1" outlineLevel="1">
      <c r="A15" s="1"/>
      <c r="B15" s="1"/>
      <c r="C15" s="1"/>
      <c r="D15" s="1"/>
      <c r="E15" s="2" t="s">
        <v>59</v>
      </c>
      <c r="F15" s="1" t="s">
        <v>60</v>
      </c>
      <c r="G15" s="7" t="s">
        <v>61</v>
      </c>
      <c r="H15" s="3"/>
      <c r="I15" s="4"/>
      <c r="J15" s="4" t="b">
        <v>0</v>
      </c>
      <c r="K15" s="4" t="b">
        <v>0</v>
      </c>
      <c r="L15" s="1"/>
      <c r="M15" s="15" t="s">
        <v>62</v>
      </c>
      <c r="N15" s="6"/>
      <c r="O15" s="6"/>
      <c r="P15" s="6"/>
      <c r="Q15" s="6"/>
      <c r="R15" s="6"/>
      <c r="S15" s="6"/>
      <c r="T15" s="6"/>
      <c r="U15" s="6"/>
      <c r="V15" s="6"/>
      <c r="W15" s="6"/>
      <c r="X15" s="6"/>
      <c r="Y15" s="6"/>
      <c r="Z15" s="6"/>
      <c r="AA15" s="6"/>
      <c r="AB15" s="6"/>
    </row>
    <row r="16" hidden="1" outlineLevel="1">
      <c r="A16" s="1"/>
      <c r="B16" s="1"/>
      <c r="C16" s="1"/>
      <c r="D16" s="1"/>
      <c r="E16" s="2" t="s">
        <v>54</v>
      </c>
      <c r="F16" s="1" t="s">
        <v>63</v>
      </c>
      <c r="G16" s="7" t="s">
        <v>64</v>
      </c>
      <c r="H16" s="8" t="s">
        <v>57</v>
      </c>
      <c r="I16" s="4"/>
      <c r="J16" s="4" t="b">
        <v>0</v>
      </c>
      <c r="K16" s="4" t="b">
        <v>0</v>
      </c>
      <c r="L16" s="1" t="s">
        <v>58</v>
      </c>
      <c r="M16" s="15" t="s">
        <v>54</v>
      </c>
      <c r="N16" s="6"/>
      <c r="O16" s="6"/>
      <c r="P16" s="6"/>
      <c r="Q16" s="6"/>
      <c r="R16" s="6"/>
      <c r="S16" s="6"/>
      <c r="T16" s="6"/>
      <c r="U16" s="6"/>
      <c r="V16" s="6"/>
      <c r="W16" s="6"/>
      <c r="X16" s="6"/>
      <c r="Y16" s="6"/>
      <c r="Z16" s="6"/>
      <c r="AA16" s="6"/>
      <c r="AB16" s="6"/>
    </row>
    <row r="17" hidden="1" outlineLevel="1">
      <c r="A17" s="1"/>
      <c r="B17" s="1"/>
      <c r="C17" s="1"/>
      <c r="D17" s="1"/>
      <c r="E17" s="2" t="s">
        <v>65</v>
      </c>
      <c r="F17" s="1" t="s">
        <v>66</v>
      </c>
      <c r="G17" s="7" t="s">
        <v>67</v>
      </c>
      <c r="H17" s="3"/>
      <c r="I17" s="4"/>
      <c r="J17" s="4" t="b">
        <v>0</v>
      </c>
      <c r="K17" s="4" t="b">
        <v>0</v>
      </c>
      <c r="L17" s="1"/>
      <c r="M17" s="15"/>
      <c r="N17" s="6"/>
      <c r="O17" s="6"/>
      <c r="P17" s="6"/>
      <c r="Q17" s="6"/>
      <c r="R17" s="6"/>
      <c r="S17" s="6"/>
      <c r="T17" s="6"/>
      <c r="U17" s="6"/>
      <c r="V17" s="6"/>
      <c r="W17" s="6"/>
      <c r="X17" s="6"/>
      <c r="Y17" s="6"/>
      <c r="Z17" s="6"/>
      <c r="AA17" s="6"/>
      <c r="AB17" s="6"/>
    </row>
    <row r="18" hidden="1" outlineLevel="1">
      <c r="A18" s="1"/>
      <c r="B18" s="1"/>
      <c r="C18" s="1"/>
      <c r="D18" s="1"/>
      <c r="E18" s="2" t="s">
        <v>68</v>
      </c>
      <c r="F18" s="1" t="s">
        <v>69</v>
      </c>
      <c r="G18" s="7" t="s">
        <v>70</v>
      </c>
      <c r="H18" s="8" t="s">
        <v>57</v>
      </c>
      <c r="I18" s="4"/>
      <c r="J18" s="4" t="b">
        <v>0</v>
      </c>
      <c r="K18" s="4" t="b">
        <v>0</v>
      </c>
      <c r="L18" s="1" t="s">
        <v>58</v>
      </c>
      <c r="M18" s="15" t="s">
        <v>68</v>
      </c>
      <c r="N18" s="6"/>
      <c r="O18" s="6"/>
      <c r="P18" s="6"/>
      <c r="Q18" s="6"/>
      <c r="R18" s="6"/>
      <c r="S18" s="6"/>
      <c r="T18" s="6"/>
      <c r="U18" s="6"/>
      <c r="V18" s="6"/>
      <c r="W18" s="6"/>
      <c r="X18" s="6"/>
      <c r="Y18" s="6"/>
      <c r="Z18" s="6"/>
      <c r="AA18" s="6"/>
      <c r="AB18" s="6"/>
    </row>
    <row r="19" hidden="1" outlineLevel="1">
      <c r="A19" s="1"/>
      <c r="B19" s="1"/>
      <c r="C19" s="1"/>
      <c r="D19" s="1"/>
      <c r="E19" s="2" t="s">
        <v>71</v>
      </c>
      <c r="F19" s="1" t="s">
        <v>72</v>
      </c>
      <c r="G19" s="7" t="s">
        <v>73</v>
      </c>
      <c r="H19" s="8" t="s">
        <v>57</v>
      </c>
      <c r="I19" s="4"/>
      <c r="J19" s="4" t="b">
        <v>0</v>
      </c>
      <c r="K19" s="4" t="b">
        <v>0</v>
      </c>
      <c r="L19" s="1" t="s">
        <v>58</v>
      </c>
      <c r="M19" s="15" t="s">
        <v>71</v>
      </c>
      <c r="N19" s="6"/>
      <c r="O19" s="6"/>
      <c r="P19" s="6"/>
      <c r="Q19" s="6"/>
      <c r="R19" s="6"/>
      <c r="S19" s="6"/>
      <c r="T19" s="6"/>
      <c r="U19" s="6"/>
      <c r="V19" s="6"/>
      <c r="W19" s="6"/>
      <c r="X19" s="6"/>
      <c r="Y19" s="6"/>
      <c r="Z19" s="6"/>
      <c r="AA19" s="6"/>
      <c r="AB19" s="6"/>
    </row>
    <row r="20" hidden="1" outlineLevel="1">
      <c r="A20" s="1"/>
      <c r="B20" s="1"/>
      <c r="C20" s="1"/>
      <c r="D20" s="1"/>
      <c r="E20" s="2" t="s">
        <v>65</v>
      </c>
      <c r="F20" s="1" t="s">
        <v>74</v>
      </c>
      <c r="G20" s="7" t="s">
        <v>75</v>
      </c>
      <c r="H20" s="9" t="s">
        <v>57</v>
      </c>
      <c r="I20" s="4"/>
      <c r="J20" s="4" t="b">
        <v>0</v>
      </c>
      <c r="K20" s="4" t="b">
        <v>0</v>
      </c>
      <c r="L20" s="1" t="s">
        <v>58</v>
      </c>
      <c r="M20" s="15" t="s">
        <v>65</v>
      </c>
      <c r="N20" s="6"/>
      <c r="O20" s="6"/>
      <c r="P20" s="6"/>
      <c r="Q20" s="6"/>
      <c r="R20" s="6"/>
      <c r="S20" s="6"/>
      <c r="T20" s="6"/>
      <c r="U20" s="6"/>
      <c r="V20" s="6"/>
      <c r="W20" s="6"/>
      <c r="X20" s="6"/>
      <c r="Y20" s="6"/>
      <c r="Z20" s="6"/>
      <c r="AA20" s="6"/>
      <c r="AB20" s="6"/>
    </row>
    <row r="21" hidden="1" outlineLevel="1">
      <c r="A21" s="1"/>
      <c r="B21" s="1"/>
      <c r="C21" s="1"/>
      <c r="D21" s="1"/>
      <c r="E21" s="2" t="s">
        <v>76</v>
      </c>
      <c r="F21" s="1" t="s">
        <v>77</v>
      </c>
      <c r="G21" s="10" t="s">
        <v>78</v>
      </c>
      <c r="H21" s="9" t="s">
        <v>57</v>
      </c>
      <c r="I21" s="4"/>
      <c r="J21" s="4" t="b">
        <v>0</v>
      </c>
      <c r="K21" s="4" t="b">
        <v>0</v>
      </c>
      <c r="L21" s="1" t="s">
        <v>58</v>
      </c>
      <c r="M21" s="1" t="s">
        <v>79</v>
      </c>
      <c r="N21" s="6"/>
      <c r="O21" s="6"/>
      <c r="P21" s="6"/>
      <c r="Q21" s="6"/>
      <c r="R21" s="6"/>
      <c r="S21" s="6"/>
      <c r="T21" s="6"/>
      <c r="U21" s="6"/>
      <c r="V21" s="6"/>
      <c r="W21" s="6"/>
      <c r="X21" s="6"/>
      <c r="Y21" s="6"/>
      <c r="Z21" s="6"/>
      <c r="AA21" s="6"/>
      <c r="AB21" s="6"/>
    </row>
    <row r="22" hidden="1" outlineLevel="1">
      <c r="A22" s="1"/>
      <c r="B22" s="1"/>
      <c r="C22" s="1"/>
      <c r="D22" s="1"/>
      <c r="E22" s="2" t="s">
        <v>80</v>
      </c>
      <c r="F22" s="1" t="s">
        <v>81</v>
      </c>
      <c r="G22" s="7" t="s">
        <v>82</v>
      </c>
      <c r="H22" s="16"/>
      <c r="I22" s="4"/>
      <c r="J22" s="4" t="b">
        <v>0</v>
      </c>
      <c r="K22" s="4" t="b">
        <v>0</v>
      </c>
      <c r="L22" s="1"/>
      <c r="M22" s="1" t="s">
        <v>79</v>
      </c>
      <c r="N22" s="6"/>
      <c r="O22" s="6"/>
      <c r="P22" s="6"/>
      <c r="Q22" s="6"/>
      <c r="R22" s="6"/>
      <c r="S22" s="6"/>
      <c r="T22" s="6"/>
      <c r="U22" s="6"/>
      <c r="V22" s="6"/>
      <c r="W22" s="6"/>
      <c r="X22" s="6"/>
      <c r="Y22" s="6"/>
      <c r="Z22" s="6"/>
      <c r="AA22" s="6"/>
      <c r="AB22" s="6"/>
    </row>
    <row r="23" hidden="1" outlineLevel="1">
      <c r="A23" s="1"/>
      <c r="B23" s="1"/>
      <c r="C23" s="1"/>
      <c r="D23" s="1"/>
      <c r="E23" s="2" t="s">
        <v>83</v>
      </c>
      <c r="F23" s="1" t="s">
        <v>84</v>
      </c>
      <c r="G23" s="10" t="s">
        <v>85</v>
      </c>
      <c r="H23" s="16"/>
      <c r="I23" s="4"/>
      <c r="J23" s="4" t="b">
        <v>0</v>
      </c>
      <c r="K23" s="4" t="b">
        <v>0</v>
      </c>
      <c r="L23" s="1"/>
      <c r="M23" s="1" t="s">
        <v>79</v>
      </c>
      <c r="N23" s="6"/>
      <c r="O23" s="6"/>
      <c r="P23" s="6"/>
      <c r="Q23" s="6"/>
      <c r="R23" s="6"/>
      <c r="S23" s="6"/>
      <c r="T23" s="6"/>
      <c r="U23" s="6"/>
      <c r="V23" s="6"/>
      <c r="W23" s="6"/>
      <c r="X23" s="6"/>
      <c r="Y23" s="6"/>
      <c r="Z23" s="6"/>
      <c r="AA23" s="6"/>
      <c r="AB23" s="6"/>
    </row>
    <row r="24" hidden="1" outlineLevel="1">
      <c r="A24" s="1"/>
      <c r="B24" s="1"/>
      <c r="C24" s="1"/>
      <c r="D24" s="1"/>
      <c r="E24" s="2"/>
      <c r="F24" s="1" t="s">
        <v>86</v>
      </c>
      <c r="G24" s="7" t="s">
        <v>87</v>
      </c>
      <c r="H24" s="16"/>
      <c r="I24" s="4"/>
      <c r="J24" s="4" t="b">
        <v>0</v>
      </c>
      <c r="K24" s="4" t="b">
        <v>0</v>
      </c>
      <c r="L24" s="1"/>
      <c r="M24" s="1" t="s">
        <v>83</v>
      </c>
      <c r="N24" s="6"/>
      <c r="O24" s="6"/>
      <c r="P24" s="6"/>
      <c r="Q24" s="6"/>
      <c r="R24" s="6"/>
      <c r="S24" s="6"/>
      <c r="T24" s="6"/>
      <c r="U24" s="6"/>
      <c r="V24" s="6"/>
      <c r="W24" s="6"/>
      <c r="X24" s="6"/>
      <c r="Y24" s="6"/>
      <c r="Z24" s="6"/>
      <c r="AA24" s="6"/>
      <c r="AB24" s="6"/>
    </row>
    <row r="25" hidden="1" outlineLevel="1">
      <c r="A25" s="1"/>
      <c r="B25" s="1"/>
      <c r="C25" s="1"/>
      <c r="D25" s="1"/>
      <c r="E25" s="2" t="s">
        <v>88</v>
      </c>
      <c r="F25" s="1" t="s">
        <v>89</v>
      </c>
      <c r="G25" s="5"/>
      <c r="H25" s="16"/>
      <c r="I25" s="4"/>
      <c r="J25" s="4" t="b">
        <v>0</v>
      </c>
      <c r="K25" s="4" t="b">
        <v>0</v>
      </c>
      <c r="L25" s="1"/>
      <c r="M25" s="1" t="s">
        <v>83</v>
      </c>
      <c r="N25" s="6"/>
      <c r="O25" s="6"/>
      <c r="P25" s="6"/>
      <c r="Q25" s="6"/>
      <c r="R25" s="6"/>
      <c r="S25" s="6"/>
      <c r="T25" s="6"/>
      <c r="U25" s="6"/>
      <c r="V25" s="6"/>
      <c r="W25" s="6"/>
      <c r="X25" s="6"/>
      <c r="Y25" s="6"/>
      <c r="Z25" s="6"/>
      <c r="AA25" s="6"/>
      <c r="AB25" s="6"/>
    </row>
    <row r="26" hidden="1" outlineLevel="1">
      <c r="A26" s="1"/>
      <c r="B26" s="1"/>
      <c r="C26" s="1"/>
      <c r="D26" s="1"/>
      <c r="E26" s="2" t="s">
        <v>90</v>
      </c>
      <c r="F26" s="1" t="s">
        <v>91</v>
      </c>
      <c r="G26" s="5"/>
      <c r="H26" s="16"/>
      <c r="I26" s="4"/>
      <c r="J26" s="4" t="b">
        <v>0</v>
      </c>
      <c r="K26" s="4" t="b">
        <v>0</v>
      </c>
      <c r="L26" s="1"/>
      <c r="M26" s="1" t="s">
        <v>83</v>
      </c>
      <c r="N26" s="6"/>
      <c r="O26" s="6"/>
      <c r="P26" s="6"/>
      <c r="Q26" s="6"/>
      <c r="R26" s="6"/>
      <c r="S26" s="6"/>
      <c r="T26" s="6"/>
      <c r="U26" s="6"/>
      <c r="V26" s="6"/>
      <c r="W26" s="6"/>
      <c r="X26" s="6"/>
      <c r="Y26" s="6"/>
      <c r="Z26" s="6"/>
      <c r="AA26" s="6"/>
      <c r="AB26" s="6"/>
    </row>
    <row r="27" hidden="1" outlineLevel="1">
      <c r="A27" s="1"/>
      <c r="B27" s="1"/>
      <c r="C27" s="1"/>
      <c r="D27" s="1"/>
      <c r="E27" s="2" t="s">
        <v>92</v>
      </c>
      <c r="F27" s="1" t="s">
        <v>93</v>
      </c>
      <c r="G27" s="7" t="s">
        <v>94</v>
      </c>
      <c r="H27" s="16"/>
      <c r="I27" s="4"/>
      <c r="J27" s="4" t="b">
        <v>0</v>
      </c>
      <c r="K27" s="4" t="b">
        <v>0</v>
      </c>
      <c r="L27" s="1"/>
      <c r="M27" s="1" t="s">
        <v>83</v>
      </c>
      <c r="N27" s="6"/>
      <c r="O27" s="6"/>
      <c r="P27" s="6"/>
      <c r="Q27" s="6"/>
      <c r="R27" s="6"/>
      <c r="S27" s="6"/>
      <c r="T27" s="6"/>
      <c r="U27" s="6"/>
      <c r="V27" s="6"/>
      <c r="W27" s="6"/>
      <c r="X27" s="6"/>
      <c r="Y27" s="6"/>
      <c r="Z27" s="6"/>
      <c r="AA27" s="6"/>
      <c r="AB27" s="6"/>
    </row>
    <row r="28" hidden="1" outlineLevel="1">
      <c r="A28" s="1"/>
      <c r="B28" s="1"/>
      <c r="C28" s="1"/>
      <c r="D28" s="1"/>
      <c r="E28" s="2" t="s">
        <v>95</v>
      </c>
      <c r="F28" s="1" t="s">
        <v>96</v>
      </c>
      <c r="G28" s="7" t="s">
        <v>97</v>
      </c>
      <c r="H28" s="16"/>
      <c r="I28" s="4"/>
      <c r="J28" s="4" t="b">
        <v>0</v>
      </c>
      <c r="K28" s="4" t="b">
        <v>0</v>
      </c>
      <c r="L28" s="1"/>
      <c r="M28" s="1" t="s">
        <v>83</v>
      </c>
      <c r="N28" s="6"/>
      <c r="O28" s="6"/>
      <c r="P28" s="6"/>
      <c r="Q28" s="6"/>
      <c r="R28" s="6"/>
      <c r="S28" s="6"/>
      <c r="T28" s="6"/>
      <c r="U28" s="6"/>
      <c r="V28" s="6"/>
      <c r="W28" s="6"/>
      <c r="X28" s="6"/>
      <c r="Y28" s="6"/>
      <c r="Z28" s="6"/>
      <c r="AA28" s="6"/>
      <c r="AB28" s="6"/>
    </row>
    <row r="29" hidden="1" outlineLevel="1">
      <c r="A29" s="1"/>
      <c r="B29" s="1"/>
      <c r="C29" s="1"/>
      <c r="D29" s="1"/>
      <c r="E29" s="2" t="s">
        <v>79</v>
      </c>
      <c r="F29" s="1" t="s">
        <v>98</v>
      </c>
      <c r="G29" s="7" t="s">
        <v>99</v>
      </c>
      <c r="H29" s="16"/>
      <c r="I29" s="4"/>
      <c r="J29" s="4" t="b">
        <v>0</v>
      </c>
      <c r="K29" s="4" t="b">
        <v>0</v>
      </c>
      <c r="L29" s="1"/>
      <c r="M29" s="1" t="s">
        <v>83</v>
      </c>
      <c r="N29" s="6"/>
      <c r="O29" s="6"/>
      <c r="P29" s="6"/>
      <c r="Q29" s="6"/>
      <c r="R29" s="6"/>
      <c r="S29" s="6"/>
      <c r="T29" s="6"/>
      <c r="U29" s="6"/>
      <c r="V29" s="6"/>
      <c r="W29" s="6"/>
      <c r="X29" s="6"/>
      <c r="Y29" s="6"/>
      <c r="Z29" s="6"/>
      <c r="AA29" s="6"/>
      <c r="AB29" s="6"/>
    </row>
    <row r="30" hidden="1" outlineLevel="1">
      <c r="A30" s="1"/>
      <c r="B30" s="1"/>
      <c r="C30" s="1"/>
      <c r="D30" s="1"/>
      <c r="E30" s="2" t="s">
        <v>100</v>
      </c>
      <c r="F30" s="1" t="s">
        <v>101</v>
      </c>
      <c r="G30" s="7" t="s">
        <v>102</v>
      </c>
      <c r="H30" s="16"/>
      <c r="I30" s="4"/>
      <c r="J30" s="4" t="b">
        <v>0</v>
      </c>
      <c r="K30" s="4" t="b">
        <v>0</v>
      </c>
      <c r="L30" s="1"/>
      <c r="M30" s="1" t="s">
        <v>83</v>
      </c>
      <c r="N30" s="6"/>
      <c r="O30" s="6"/>
      <c r="P30" s="6"/>
      <c r="Q30" s="6"/>
      <c r="R30" s="6"/>
      <c r="S30" s="6"/>
      <c r="T30" s="6"/>
      <c r="U30" s="6"/>
      <c r="V30" s="6"/>
      <c r="W30" s="6"/>
      <c r="X30" s="6"/>
      <c r="Y30" s="6"/>
      <c r="Z30" s="6"/>
      <c r="AA30" s="6"/>
      <c r="AB30" s="6"/>
    </row>
    <row r="31" hidden="1" outlineLevel="1">
      <c r="A31" s="1"/>
      <c r="B31" s="1"/>
      <c r="C31" s="1"/>
      <c r="D31" s="1"/>
      <c r="E31" s="2" t="s">
        <v>103</v>
      </c>
      <c r="F31" s="1" t="s">
        <v>104</v>
      </c>
      <c r="G31" s="7" t="s">
        <v>105</v>
      </c>
      <c r="H31" s="16"/>
      <c r="I31" s="4"/>
      <c r="J31" s="4" t="b">
        <v>0</v>
      </c>
      <c r="K31" s="4" t="b">
        <v>0</v>
      </c>
      <c r="L31" s="1"/>
      <c r="M31" s="1" t="s">
        <v>83</v>
      </c>
      <c r="N31" s="6"/>
      <c r="O31" s="6"/>
      <c r="P31" s="6"/>
      <c r="Q31" s="6"/>
      <c r="R31" s="6"/>
      <c r="S31" s="6"/>
      <c r="T31" s="6"/>
      <c r="U31" s="6"/>
      <c r="V31" s="6"/>
      <c r="W31" s="6"/>
      <c r="X31" s="6"/>
      <c r="Y31" s="6"/>
      <c r="Z31" s="6"/>
      <c r="AA31" s="6"/>
      <c r="AB31" s="6"/>
    </row>
    <row r="32" hidden="1" outlineLevel="1">
      <c r="A32" s="1"/>
      <c r="B32" s="1"/>
      <c r="C32" s="1"/>
      <c r="D32" s="1"/>
      <c r="E32" s="2" t="s">
        <v>106</v>
      </c>
      <c r="F32" s="1" t="s">
        <v>107</v>
      </c>
      <c r="G32" s="7" t="s">
        <v>108</v>
      </c>
      <c r="H32" s="16"/>
      <c r="I32" s="4"/>
      <c r="J32" s="4" t="b">
        <v>0</v>
      </c>
      <c r="K32" s="4" t="b">
        <v>0</v>
      </c>
      <c r="L32" s="1"/>
      <c r="M32" s="1" t="s">
        <v>83</v>
      </c>
      <c r="N32" s="6"/>
      <c r="O32" s="6"/>
      <c r="P32" s="6"/>
      <c r="Q32" s="6"/>
      <c r="R32" s="6"/>
      <c r="S32" s="6"/>
      <c r="T32" s="6"/>
      <c r="U32" s="6"/>
      <c r="V32" s="6"/>
      <c r="W32" s="6"/>
      <c r="X32" s="6"/>
      <c r="Y32" s="6"/>
      <c r="Z32" s="6"/>
      <c r="AA32" s="6"/>
      <c r="AB32" s="6"/>
    </row>
    <row r="33" hidden="1" outlineLevel="1">
      <c r="A33" s="1"/>
      <c r="B33" s="1"/>
      <c r="C33" s="1"/>
      <c r="D33" s="1"/>
      <c r="E33" s="2" t="s">
        <v>79</v>
      </c>
      <c r="F33" s="1" t="s">
        <v>109</v>
      </c>
      <c r="G33" s="7" t="s">
        <v>110</v>
      </c>
      <c r="H33" s="16"/>
      <c r="I33" s="4"/>
      <c r="J33" s="4" t="b">
        <v>0</v>
      </c>
      <c r="K33" s="4" t="b">
        <v>0</v>
      </c>
      <c r="L33" s="1"/>
      <c r="M33" s="1" t="s">
        <v>83</v>
      </c>
      <c r="N33" s="6"/>
      <c r="O33" s="6"/>
      <c r="P33" s="6"/>
      <c r="Q33" s="6"/>
      <c r="R33" s="6"/>
      <c r="S33" s="6"/>
      <c r="T33" s="6"/>
      <c r="U33" s="6"/>
      <c r="V33" s="6"/>
      <c r="W33" s="6"/>
      <c r="X33" s="6"/>
      <c r="Y33" s="6"/>
      <c r="Z33" s="6"/>
      <c r="AA33" s="6"/>
      <c r="AB33" s="6"/>
    </row>
    <row r="34" hidden="1" outlineLevel="1">
      <c r="A34" s="1"/>
      <c r="B34" s="1"/>
      <c r="C34" s="1"/>
      <c r="D34" s="1"/>
      <c r="E34" s="2" t="s">
        <v>79</v>
      </c>
      <c r="F34" s="1" t="s">
        <v>111</v>
      </c>
      <c r="G34" s="7" t="s">
        <v>112</v>
      </c>
      <c r="H34" s="16"/>
      <c r="I34" s="4"/>
      <c r="J34" s="4" t="b">
        <v>0</v>
      </c>
      <c r="K34" s="4" t="b">
        <v>0</v>
      </c>
      <c r="L34" s="1"/>
      <c r="M34" s="1" t="s">
        <v>83</v>
      </c>
      <c r="N34" s="6"/>
      <c r="O34" s="6"/>
      <c r="P34" s="6"/>
      <c r="Q34" s="6"/>
      <c r="R34" s="6"/>
      <c r="S34" s="6"/>
      <c r="T34" s="6"/>
      <c r="U34" s="6"/>
      <c r="V34" s="6"/>
      <c r="W34" s="6"/>
      <c r="X34" s="6"/>
      <c r="Y34" s="6"/>
      <c r="Z34" s="6"/>
      <c r="AA34" s="6"/>
      <c r="AB34" s="6"/>
    </row>
    <row r="35" hidden="1" outlineLevel="1">
      <c r="A35" s="1"/>
      <c r="B35" s="1"/>
      <c r="C35" s="1"/>
      <c r="D35" s="1"/>
      <c r="E35" s="2" t="s">
        <v>113</v>
      </c>
      <c r="F35" s="1" t="s">
        <v>114</v>
      </c>
      <c r="G35" s="7" t="s">
        <v>115</v>
      </c>
      <c r="H35" s="16"/>
      <c r="I35" s="4"/>
      <c r="J35" s="4" t="b">
        <v>0</v>
      </c>
      <c r="K35" s="4" t="b">
        <v>0</v>
      </c>
      <c r="L35" s="1"/>
      <c r="M35" s="1" t="s">
        <v>83</v>
      </c>
      <c r="N35" s="6"/>
      <c r="O35" s="6"/>
      <c r="P35" s="6"/>
      <c r="Q35" s="6"/>
      <c r="R35" s="6"/>
      <c r="S35" s="6"/>
      <c r="T35" s="6"/>
      <c r="U35" s="6"/>
      <c r="V35" s="6"/>
      <c r="W35" s="6"/>
      <c r="X35" s="6"/>
      <c r="Y35" s="6"/>
      <c r="Z35" s="6"/>
      <c r="AA35" s="6"/>
      <c r="AB35" s="6"/>
    </row>
    <row r="36" hidden="1" outlineLevel="1">
      <c r="A36" s="1"/>
      <c r="B36" s="1"/>
      <c r="C36" s="1"/>
      <c r="D36" s="1"/>
      <c r="E36" s="2" t="s">
        <v>116</v>
      </c>
      <c r="F36" s="1" t="s">
        <v>117</v>
      </c>
      <c r="G36" s="7" t="s">
        <v>118</v>
      </c>
      <c r="H36" s="16"/>
      <c r="I36" s="4"/>
      <c r="J36" s="4" t="b">
        <v>0</v>
      </c>
      <c r="K36" s="4" t="b">
        <v>0</v>
      </c>
      <c r="L36" s="1"/>
      <c r="M36" s="1" t="s">
        <v>83</v>
      </c>
      <c r="N36" s="6"/>
      <c r="O36" s="6"/>
      <c r="P36" s="6"/>
      <c r="Q36" s="6"/>
      <c r="R36" s="6"/>
      <c r="S36" s="6"/>
      <c r="T36" s="6"/>
      <c r="U36" s="6"/>
      <c r="V36" s="6"/>
      <c r="W36" s="6"/>
      <c r="X36" s="6"/>
      <c r="Y36" s="6"/>
      <c r="Z36" s="6"/>
      <c r="AA36" s="6"/>
      <c r="AB36" s="6"/>
    </row>
    <row r="37" hidden="1" outlineLevel="1">
      <c r="A37" s="1"/>
      <c r="B37" s="1"/>
      <c r="C37" s="1"/>
      <c r="D37" s="1"/>
      <c r="E37" s="2" t="s">
        <v>79</v>
      </c>
      <c r="F37" s="1" t="s">
        <v>119</v>
      </c>
      <c r="G37" s="7" t="s">
        <v>120</v>
      </c>
      <c r="H37" s="16"/>
      <c r="I37" s="4"/>
      <c r="J37" s="4" t="b">
        <v>0</v>
      </c>
      <c r="K37" s="4" t="b">
        <v>0</v>
      </c>
      <c r="L37" s="1"/>
      <c r="M37" s="1" t="s">
        <v>83</v>
      </c>
      <c r="N37" s="6"/>
      <c r="O37" s="6"/>
      <c r="P37" s="6"/>
      <c r="Q37" s="6"/>
      <c r="R37" s="6"/>
      <c r="S37" s="6"/>
      <c r="T37" s="6"/>
      <c r="U37" s="6"/>
      <c r="V37" s="6"/>
      <c r="W37" s="6"/>
      <c r="X37" s="6"/>
      <c r="Y37" s="6"/>
      <c r="Z37" s="6"/>
      <c r="AA37" s="6"/>
      <c r="AB37" s="6"/>
    </row>
    <row r="38" hidden="1" outlineLevel="1">
      <c r="A38" s="1"/>
      <c r="B38" s="6"/>
      <c r="C38" s="1"/>
      <c r="D38" s="1"/>
      <c r="E38" s="2" t="s">
        <v>121</v>
      </c>
      <c r="F38" s="1"/>
      <c r="G38" s="5"/>
      <c r="H38" s="16"/>
      <c r="I38" s="4"/>
      <c r="J38" s="4" t="b">
        <v>0</v>
      </c>
      <c r="K38" s="4" t="b">
        <v>0</v>
      </c>
      <c r="L38" s="1"/>
      <c r="M38" s="6"/>
      <c r="N38" s="6"/>
      <c r="O38" s="6"/>
      <c r="P38" s="6"/>
      <c r="Q38" s="6"/>
      <c r="R38" s="6"/>
      <c r="S38" s="6"/>
      <c r="T38" s="6"/>
      <c r="U38" s="6"/>
      <c r="V38" s="6"/>
      <c r="W38" s="6"/>
      <c r="X38" s="6"/>
      <c r="Y38" s="6"/>
      <c r="Z38" s="6"/>
      <c r="AA38" s="6"/>
      <c r="AB38" s="6"/>
    </row>
    <row r="39" hidden="1" outlineLevel="1">
      <c r="A39" s="1"/>
      <c r="B39" s="1"/>
      <c r="C39" s="1"/>
      <c r="D39" s="1"/>
      <c r="E39" s="2" t="s">
        <v>122</v>
      </c>
      <c r="F39" s="1" t="s">
        <v>123</v>
      </c>
      <c r="G39" s="7" t="s">
        <v>124</v>
      </c>
      <c r="H39" s="16"/>
      <c r="I39" s="4"/>
      <c r="J39" s="4" t="b">
        <v>0</v>
      </c>
      <c r="K39" s="4" t="b">
        <v>0</v>
      </c>
      <c r="L39" s="1"/>
      <c r="M39" s="6"/>
      <c r="N39" s="6"/>
      <c r="O39" s="6"/>
      <c r="P39" s="6"/>
      <c r="Q39" s="6"/>
      <c r="R39" s="6"/>
      <c r="S39" s="6"/>
      <c r="T39" s="6"/>
      <c r="U39" s="6"/>
      <c r="V39" s="6"/>
      <c r="W39" s="6"/>
      <c r="X39" s="6"/>
      <c r="Y39" s="6"/>
      <c r="Z39" s="6"/>
      <c r="AA39" s="6"/>
      <c r="AB39" s="6"/>
    </row>
    <row r="40" hidden="1" outlineLevel="1">
      <c r="A40" s="1"/>
      <c r="B40" s="1"/>
      <c r="C40" s="1"/>
      <c r="D40" s="1"/>
      <c r="E40" s="2" t="s">
        <v>125</v>
      </c>
      <c r="F40" s="1" t="s">
        <v>126</v>
      </c>
      <c r="G40" s="7" t="s">
        <v>127</v>
      </c>
      <c r="H40" s="16"/>
      <c r="I40" s="4"/>
      <c r="J40" s="4" t="b">
        <v>0</v>
      </c>
      <c r="K40" s="4" t="b">
        <v>0</v>
      </c>
      <c r="L40" s="1"/>
      <c r="M40" s="1" t="s">
        <v>128</v>
      </c>
      <c r="N40" s="6"/>
      <c r="O40" s="6"/>
      <c r="P40" s="6"/>
      <c r="Q40" s="6"/>
      <c r="R40" s="6"/>
      <c r="S40" s="6"/>
      <c r="T40" s="6"/>
      <c r="U40" s="6"/>
      <c r="V40" s="6"/>
      <c r="W40" s="6"/>
      <c r="X40" s="6"/>
      <c r="Y40" s="6"/>
      <c r="Z40" s="6"/>
      <c r="AA40" s="6"/>
      <c r="AB40" s="6"/>
    </row>
    <row r="41" hidden="1" outlineLevel="1">
      <c r="A41" s="1"/>
      <c r="B41" s="6"/>
      <c r="C41" s="1"/>
      <c r="D41" s="1"/>
      <c r="E41" s="2" t="s">
        <v>129</v>
      </c>
      <c r="F41" s="1" t="s">
        <v>130</v>
      </c>
      <c r="G41" s="7" t="s">
        <v>131</v>
      </c>
      <c r="H41" s="16"/>
      <c r="I41" s="4"/>
      <c r="J41" s="4" t="b">
        <v>0</v>
      </c>
      <c r="K41" s="4" t="b">
        <v>0</v>
      </c>
      <c r="L41" s="1"/>
      <c r="M41" s="1" t="s">
        <v>128</v>
      </c>
      <c r="N41" s="6"/>
      <c r="O41" s="6"/>
      <c r="P41" s="6"/>
      <c r="Q41" s="6"/>
      <c r="R41" s="6"/>
      <c r="S41" s="6"/>
      <c r="T41" s="6"/>
      <c r="U41" s="6"/>
      <c r="V41" s="6"/>
      <c r="W41" s="6"/>
      <c r="X41" s="6"/>
      <c r="Y41" s="6"/>
      <c r="Z41" s="6"/>
      <c r="AA41" s="6"/>
      <c r="AB41" s="6"/>
    </row>
    <row r="42" hidden="1" outlineLevel="1">
      <c r="A42" s="1"/>
      <c r="B42" s="6"/>
      <c r="C42" s="1"/>
      <c r="D42" s="1"/>
      <c r="E42" s="2"/>
      <c r="F42" s="1"/>
      <c r="G42" s="5"/>
      <c r="H42" s="16" t="s">
        <v>132</v>
      </c>
      <c r="I42" s="4"/>
      <c r="J42" s="4" t="b">
        <v>0</v>
      </c>
      <c r="K42" s="4" t="b">
        <v>0</v>
      </c>
      <c r="L42" s="1"/>
      <c r="M42" s="6"/>
      <c r="N42" s="6"/>
      <c r="O42" s="6"/>
      <c r="P42" s="6"/>
      <c r="Q42" s="6"/>
      <c r="R42" s="6"/>
      <c r="S42" s="6"/>
      <c r="T42" s="6"/>
      <c r="U42" s="6"/>
      <c r="V42" s="6"/>
      <c r="W42" s="6"/>
      <c r="X42" s="6"/>
      <c r="Y42" s="6"/>
      <c r="Z42" s="6"/>
      <c r="AA42" s="6"/>
      <c r="AB42" s="6"/>
    </row>
    <row r="43" hidden="1" outlineLevel="1">
      <c r="A43" s="1"/>
      <c r="B43" s="1"/>
      <c r="C43" s="4"/>
      <c r="D43" s="1"/>
      <c r="E43" s="2"/>
      <c r="F43" s="1" t="s">
        <v>133</v>
      </c>
      <c r="G43" s="5"/>
      <c r="H43" s="16"/>
      <c r="I43" s="4"/>
      <c r="J43" s="4" t="b">
        <v>0</v>
      </c>
      <c r="K43" s="4" t="b">
        <v>0</v>
      </c>
      <c r="L43" s="1"/>
      <c r="M43" s="1"/>
      <c r="N43" s="6"/>
      <c r="O43" s="6"/>
      <c r="P43" s="6"/>
      <c r="Q43" s="6"/>
      <c r="R43" s="6"/>
      <c r="S43" s="6"/>
      <c r="T43" s="6"/>
      <c r="U43" s="6"/>
      <c r="V43" s="6"/>
      <c r="W43" s="6"/>
      <c r="X43" s="6"/>
      <c r="Y43" s="6"/>
      <c r="Z43" s="6"/>
      <c r="AA43" s="6"/>
      <c r="AB43" s="6"/>
    </row>
    <row r="44" hidden="1" outlineLevel="1">
      <c r="A44" s="1"/>
      <c r="B44" s="1"/>
      <c r="C44" s="4"/>
      <c r="D44" s="1"/>
      <c r="E44" s="2" t="s">
        <v>134</v>
      </c>
      <c r="F44" s="1" t="s">
        <v>135</v>
      </c>
      <c r="G44" s="7" t="s">
        <v>136</v>
      </c>
      <c r="H44" s="16"/>
      <c r="I44" s="4"/>
      <c r="J44" s="4" t="b">
        <v>0</v>
      </c>
      <c r="K44" s="4" t="b">
        <v>0</v>
      </c>
      <c r="L44" s="1"/>
      <c r="M44" s="1" t="s">
        <v>62</v>
      </c>
      <c r="N44" s="6"/>
      <c r="O44" s="6"/>
      <c r="P44" s="6"/>
      <c r="Q44" s="6"/>
      <c r="R44" s="6"/>
      <c r="S44" s="6"/>
      <c r="T44" s="6"/>
      <c r="U44" s="6"/>
      <c r="V44" s="6"/>
      <c r="W44" s="6"/>
      <c r="X44" s="6"/>
      <c r="Y44" s="6"/>
      <c r="Z44" s="6"/>
      <c r="AA44" s="6"/>
      <c r="AB44" s="6"/>
    </row>
    <row r="45" hidden="1" outlineLevel="1">
      <c r="A45" s="1"/>
      <c r="B45" s="1"/>
      <c r="C45" s="4"/>
      <c r="D45" s="1"/>
      <c r="E45" s="2" t="s">
        <v>137</v>
      </c>
      <c r="F45" s="1" t="s">
        <v>138</v>
      </c>
      <c r="G45" s="7" t="s">
        <v>139</v>
      </c>
      <c r="H45" s="16"/>
      <c r="I45" s="4"/>
      <c r="J45" s="4" t="b">
        <v>0</v>
      </c>
      <c r="K45" s="4" t="b">
        <v>0</v>
      </c>
      <c r="L45" s="1"/>
      <c r="M45" s="1"/>
      <c r="N45" s="6"/>
      <c r="O45" s="6"/>
      <c r="P45" s="6"/>
      <c r="Q45" s="6"/>
      <c r="R45" s="6"/>
      <c r="S45" s="6"/>
      <c r="T45" s="6"/>
      <c r="U45" s="6"/>
      <c r="V45" s="6"/>
      <c r="W45" s="6"/>
      <c r="X45" s="6"/>
      <c r="Y45" s="6"/>
      <c r="Z45" s="6"/>
      <c r="AA45" s="6"/>
      <c r="AB45" s="6"/>
    </row>
    <row r="46" hidden="1" outlineLevel="1">
      <c r="A46" s="1"/>
      <c r="B46" s="1"/>
      <c r="C46" s="1"/>
      <c r="D46" s="1"/>
      <c r="E46" s="2" t="s">
        <v>140</v>
      </c>
      <c r="F46" s="1" t="s">
        <v>141</v>
      </c>
      <c r="G46" s="7" t="s">
        <v>142</v>
      </c>
      <c r="H46" s="16"/>
      <c r="I46" s="4"/>
      <c r="J46" s="4" t="b">
        <v>0</v>
      </c>
      <c r="K46" s="4" t="b">
        <v>0</v>
      </c>
      <c r="L46" s="1"/>
      <c r="M46" s="1"/>
      <c r="N46" s="6"/>
      <c r="O46" s="6"/>
      <c r="P46" s="6"/>
      <c r="Q46" s="6"/>
      <c r="R46" s="6"/>
      <c r="S46" s="6"/>
      <c r="T46" s="6"/>
      <c r="U46" s="6"/>
      <c r="V46" s="6"/>
      <c r="W46" s="6"/>
      <c r="X46" s="6"/>
      <c r="Y46" s="6"/>
      <c r="Z46" s="6"/>
      <c r="AA46" s="6"/>
      <c r="AB46" s="6"/>
    </row>
    <row r="47" hidden="1" outlineLevel="1">
      <c r="A47" s="1"/>
      <c r="B47" s="1"/>
      <c r="C47" s="4"/>
      <c r="D47" s="1"/>
      <c r="E47" s="2"/>
      <c r="F47" s="1" t="s">
        <v>143</v>
      </c>
      <c r="G47" s="5"/>
      <c r="H47" s="16"/>
      <c r="I47" s="4"/>
      <c r="J47" s="4" t="b">
        <v>0</v>
      </c>
      <c r="K47" s="4" t="b">
        <v>0</v>
      </c>
      <c r="L47" s="1"/>
      <c r="M47" s="1" t="s">
        <v>144</v>
      </c>
      <c r="N47" s="6"/>
      <c r="O47" s="6"/>
      <c r="P47" s="6"/>
      <c r="Q47" s="6"/>
      <c r="R47" s="6"/>
      <c r="S47" s="6"/>
      <c r="T47" s="6"/>
      <c r="U47" s="6"/>
      <c r="V47" s="6"/>
      <c r="W47" s="6"/>
      <c r="X47" s="6"/>
      <c r="Y47" s="6"/>
      <c r="Z47" s="6"/>
      <c r="AA47" s="6"/>
      <c r="AB47" s="6"/>
    </row>
    <row r="48" hidden="1" outlineLevel="1">
      <c r="A48" s="1"/>
      <c r="B48" s="1"/>
      <c r="C48" s="1"/>
      <c r="D48" s="1"/>
      <c r="E48" s="2" t="s">
        <v>145</v>
      </c>
      <c r="F48" s="1" t="s">
        <v>146</v>
      </c>
      <c r="G48" s="7" t="s">
        <v>147</v>
      </c>
      <c r="H48" s="16"/>
      <c r="I48" s="4"/>
      <c r="J48" s="4" t="b">
        <v>0</v>
      </c>
      <c r="K48" s="4" t="b">
        <v>0</v>
      </c>
      <c r="L48" s="1"/>
      <c r="M48" s="1" t="s">
        <v>128</v>
      </c>
      <c r="N48" s="6"/>
      <c r="O48" s="6"/>
      <c r="P48" s="6"/>
      <c r="Q48" s="6"/>
      <c r="R48" s="6"/>
      <c r="S48" s="6"/>
      <c r="T48" s="6"/>
      <c r="U48" s="6"/>
      <c r="V48" s="6"/>
      <c r="W48" s="6"/>
      <c r="X48" s="6"/>
      <c r="Y48" s="6"/>
      <c r="Z48" s="6"/>
      <c r="AA48" s="6"/>
      <c r="AB48" s="6"/>
    </row>
    <row r="49" hidden="1" outlineLevel="1">
      <c r="A49" s="1"/>
      <c r="B49" s="1"/>
      <c r="C49" s="4"/>
      <c r="D49" s="1"/>
      <c r="E49" s="2" t="s">
        <v>129</v>
      </c>
      <c r="F49" s="1" t="s">
        <v>148</v>
      </c>
      <c r="G49" s="7" t="s">
        <v>149</v>
      </c>
      <c r="H49" s="16"/>
      <c r="I49" s="4"/>
      <c r="J49" s="4" t="b">
        <v>0</v>
      </c>
      <c r="K49" s="4" t="b">
        <v>0</v>
      </c>
      <c r="L49" s="1"/>
      <c r="M49" s="1" t="s">
        <v>128</v>
      </c>
      <c r="N49" s="6"/>
      <c r="O49" s="6"/>
      <c r="P49" s="6"/>
      <c r="Q49" s="6"/>
      <c r="R49" s="6"/>
      <c r="S49" s="6"/>
      <c r="T49" s="6"/>
      <c r="U49" s="6"/>
      <c r="V49" s="6"/>
      <c r="W49" s="6"/>
      <c r="X49" s="6"/>
      <c r="Y49" s="6"/>
      <c r="Z49" s="6"/>
      <c r="AA49" s="6"/>
      <c r="AB49" s="6"/>
    </row>
    <row r="50" hidden="1" outlineLevel="1">
      <c r="A50" s="1"/>
      <c r="B50" s="1"/>
      <c r="C50" s="1"/>
      <c r="D50" s="1"/>
      <c r="E50" s="2" t="s">
        <v>150</v>
      </c>
      <c r="F50" s="1" t="s">
        <v>151</v>
      </c>
      <c r="G50" s="5"/>
      <c r="H50" s="16"/>
      <c r="I50" s="4"/>
      <c r="J50" s="4" t="b">
        <v>0</v>
      </c>
      <c r="K50" s="4" t="b">
        <v>0</v>
      </c>
      <c r="L50" s="1"/>
      <c r="M50" s="1" t="s">
        <v>62</v>
      </c>
      <c r="N50" s="6"/>
      <c r="O50" s="6"/>
      <c r="P50" s="6"/>
      <c r="Q50" s="6"/>
      <c r="R50" s="6"/>
      <c r="S50" s="6"/>
      <c r="T50" s="6"/>
      <c r="U50" s="6"/>
      <c r="V50" s="6"/>
      <c r="W50" s="6"/>
      <c r="X50" s="6"/>
      <c r="Y50" s="6"/>
      <c r="Z50" s="6"/>
      <c r="AA50" s="6"/>
      <c r="AB50" s="6"/>
    </row>
    <row r="51" hidden="1" outlineLevel="1">
      <c r="A51" s="1"/>
      <c r="B51" s="1"/>
      <c r="C51" s="1"/>
      <c r="D51" s="1"/>
      <c r="E51" s="2" t="s">
        <v>152</v>
      </c>
      <c r="F51" s="1" t="s">
        <v>153</v>
      </c>
      <c r="G51" s="7" t="s">
        <v>154</v>
      </c>
      <c r="H51" s="16"/>
      <c r="I51" s="4"/>
      <c r="J51" s="4" t="b">
        <v>0</v>
      </c>
      <c r="K51" s="4" t="b">
        <v>0</v>
      </c>
      <c r="L51" s="1"/>
      <c r="M51" s="6"/>
      <c r="N51" s="6"/>
      <c r="O51" s="6"/>
      <c r="P51" s="6"/>
      <c r="Q51" s="6"/>
      <c r="R51" s="6"/>
      <c r="S51" s="6"/>
      <c r="T51" s="6"/>
      <c r="U51" s="6"/>
      <c r="V51" s="6"/>
      <c r="W51" s="6"/>
      <c r="X51" s="6"/>
      <c r="Y51" s="6"/>
      <c r="Z51" s="6"/>
      <c r="AA51" s="6"/>
      <c r="AB51" s="6"/>
    </row>
    <row r="52" hidden="1" outlineLevel="1">
      <c r="A52" s="1"/>
      <c r="B52" s="1"/>
      <c r="C52" s="1"/>
      <c r="D52" s="1"/>
      <c r="E52" s="2"/>
      <c r="F52" s="1"/>
      <c r="G52" s="7" t="s">
        <v>155</v>
      </c>
      <c r="H52" s="16"/>
      <c r="I52" s="4"/>
      <c r="J52" s="4" t="b">
        <v>0</v>
      </c>
      <c r="K52" s="4" t="b">
        <v>0</v>
      </c>
      <c r="L52" s="1"/>
      <c r="M52" s="6"/>
      <c r="N52" s="6"/>
      <c r="O52" s="6"/>
      <c r="P52" s="6"/>
      <c r="Q52" s="6"/>
      <c r="R52" s="6"/>
      <c r="S52" s="6"/>
      <c r="T52" s="6"/>
      <c r="U52" s="6"/>
      <c r="V52" s="6"/>
      <c r="W52" s="6"/>
      <c r="X52" s="6"/>
      <c r="Y52" s="6"/>
      <c r="Z52" s="6"/>
      <c r="AA52" s="6"/>
      <c r="AB52" s="6"/>
    </row>
    <row r="53" hidden="1" outlineLevel="1">
      <c r="A53" s="1"/>
      <c r="B53" s="1"/>
      <c r="C53" s="1"/>
      <c r="D53" s="1"/>
      <c r="E53" s="2"/>
      <c r="F53" s="1"/>
      <c r="G53" s="7" t="s">
        <v>156</v>
      </c>
      <c r="H53" s="16"/>
      <c r="I53" s="4"/>
      <c r="J53" s="4" t="b">
        <v>0</v>
      </c>
      <c r="K53" s="4" t="b">
        <v>0</v>
      </c>
      <c r="L53" s="1"/>
      <c r="M53" s="6"/>
      <c r="N53" s="6"/>
      <c r="O53" s="6"/>
      <c r="P53" s="6"/>
      <c r="Q53" s="6"/>
      <c r="R53" s="6"/>
      <c r="S53" s="6"/>
      <c r="T53" s="6"/>
      <c r="U53" s="6"/>
      <c r="V53" s="6"/>
      <c r="W53" s="6"/>
      <c r="X53" s="6"/>
      <c r="Y53" s="6"/>
      <c r="Z53" s="6"/>
      <c r="AA53" s="6"/>
      <c r="AB53" s="6"/>
    </row>
    <row r="54" hidden="1" outlineLevel="1">
      <c r="A54" s="1"/>
      <c r="B54" s="6"/>
      <c r="C54" s="1"/>
      <c r="D54" s="1"/>
      <c r="E54" s="2"/>
      <c r="F54" s="1"/>
      <c r="G54" s="7" t="s">
        <v>157</v>
      </c>
      <c r="H54" s="16"/>
      <c r="I54" s="4"/>
      <c r="J54" s="4" t="b">
        <v>0</v>
      </c>
      <c r="K54" s="4" t="b">
        <v>0</v>
      </c>
      <c r="L54" s="1"/>
      <c r="M54" s="6"/>
      <c r="N54" s="6"/>
      <c r="O54" s="6"/>
      <c r="P54" s="6"/>
      <c r="Q54" s="6"/>
      <c r="R54" s="6"/>
      <c r="S54" s="6"/>
      <c r="T54" s="6"/>
      <c r="U54" s="6"/>
      <c r="V54" s="6"/>
      <c r="W54" s="6"/>
      <c r="X54" s="6"/>
      <c r="Y54" s="6"/>
      <c r="Z54" s="6"/>
      <c r="AA54" s="6"/>
      <c r="AB54" s="6"/>
    </row>
    <row r="55" hidden="1" outlineLevel="1">
      <c r="A55" s="1"/>
      <c r="B55" s="6"/>
      <c r="C55" s="1"/>
      <c r="D55" s="1"/>
      <c r="E55" s="2"/>
      <c r="F55" s="1"/>
      <c r="G55" s="7" t="s">
        <v>158</v>
      </c>
      <c r="H55" s="16"/>
      <c r="I55" s="4"/>
      <c r="J55" s="4" t="b">
        <v>0</v>
      </c>
      <c r="K55" s="4" t="b">
        <v>0</v>
      </c>
      <c r="L55" s="1"/>
      <c r="M55" s="6"/>
      <c r="N55" s="6"/>
      <c r="O55" s="6"/>
      <c r="P55" s="6"/>
      <c r="Q55" s="6"/>
      <c r="R55" s="6"/>
      <c r="S55" s="6"/>
      <c r="T55" s="6"/>
      <c r="U55" s="6"/>
      <c r="V55" s="6"/>
      <c r="W55" s="6"/>
      <c r="X55" s="6"/>
      <c r="Y55" s="6"/>
      <c r="Z55" s="6"/>
      <c r="AA55" s="6"/>
      <c r="AB55" s="6"/>
    </row>
    <row r="56" hidden="1" outlineLevel="1">
      <c r="A56" s="1"/>
      <c r="B56" s="6"/>
      <c r="C56" s="1"/>
      <c r="D56" s="1"/>
      <c r="E56" s="2"/>
      <c r="F56" s="1"/>
      <c r="G56" s="7" t="s">
        <v>159</v>
      </c>
      <c r="H56" s="16"/>
      <c r="I56" s="4"/>
      <c r="J56" s="4" t="b">
        <v>0</v>
      </c>
      <c r="K56" s="4" t="b">
        <v>0</v>
      </c>
      <c r="L56" s="1"/>
      <c r="M56" s="6"/>
      <c r="N56" s="6"/>
      <c r="O56" s="6"/>
      <c r="P56" s="6"/>
      <c r="Q56" s="6"/>
      <c r="R56" s="6"/>
      <c r="S56" s="6"/>
      <c r="T56" s="6"/>
      <c r="U56" s="6"/>
      <c r="V56" s="6"/>
      <c r="W56" s="6"/>
      <c r="X56" s="6"/>
      <c r="Y56" s="6"/>
      <c r="Z56" s="6"/>
      <c r="AA56" s="6"/>
      <c r="AB56" s="6"/>
    </row>
    <row r="57" hidden="1" outlineLevel="1">
      <c r="A57" s="1"/>
      <c r="B57" s="6"/>
      <c r="C57" s="1"/>
      <c r="D57" s="1"/>
      <c r="E57" s="2"/>
      <c r="F57" s="1"/>
      <c r="G57" s="7" t="s">
        <v>160</v>
      </c>
      <c r="H57" s="16"/>
      <c r="I57" s="4"/>
      <c r="J57" s="4" t="b">
        <v>0</v>
      </c>
      <c r="K57" s="4" t="b">
        <v>0</v>
      </c>
      <c r="L57" s="1"/>
      <c r="M57" s="6"/>
      <c r="N57" s="6"/>
      <c r="O57" s="6"/>
      <c r="P57" s="6"/>
      <c r="Q57" s="6"/>
      <c r="R57" s="6"/>
      <c r="S57" s="6"/>
      <c r="T57" s="6"/>
      <c r="U57" s="6"/>
      <c r="V57" s="6"/>
      <c r="W57" s="6"/>
      <c r="X57" s="6"/>
      <c r="Y57" s="6"/>
      <c r="Z57" s="6"/>
      <c r="AA57" s="6"/>
      <c r="AB57" s="6"/>
    </row>
    <row r="58" hidden="1" outlineLevel="1">
      <c r="A58" s="1"/>
      <c r="B58" s="6"/>
      <c r="C58" s="1"/>
      <c r="D58" s="1"/>
      <c r="E58" s="2"/>
      <c r="F58" s="1"/>
      <c r="G58" s="7" t="s">
        <v>161</v>
      </c>
      <c r="H58" s="16"/>
      <c r="I58" s="4"/>
      <c r="J58" s="4" t="b">
        <v>0</v>
      </c>
      <c r="K58" s="4" t="b">
        <v>0</v>
      </c>
      <c r="L58" s="1"/>
      <c r="M58" s="6"/>
      <c r="N58" s="6"/>
      <c r="O58" s="6"/>
      <c r="P58" s="6"/>
      <c r="Q58" s="6"/>
      <c r="R58" s="6"/>
      <c r="S58" s="6"/>
      <c r="T58" s="6"/>
      <c r="U58" s="6"/>
      <c r="V58" s="6"/>
      <c r="W58" s="6"/>
      <c r="X58" s="6"/>
      <c r="Y58" s="6"/>
      <c r="Z58" s="6"/>
      <c r="AA58" s="6"/>
      <c r="AB58" s="6"/>
    </row>
    <row r="59" hidden="1" outlineLevel="1">
      <c r="A59" s="1"/>
      <c r="B59" s="1"/>
      <c r="C59" s="1"/>
      <c r="D59" s="1"/>
      <c r="E59" s="2"/>
      <c r="F59" s="1"/>
      <c r="G59" s="7" t="s">
        <v>162</v>
      </c>
      <c r="H59" s="16"/>
      <c r="I59" s="4"/>
      <c r="J59" s="4" t="b">
        <v>0</v>
      </c>
      <c r="K59" s="4" t="b">
        <v>0</v>
      </c>
      <c r="L59" s="1"/>
      <c r="M59" s="6"/>
      <c r="N59" s="6"/>
      <c r="O59" s="6"/>
      <c r="P59" s="6"/>
      <c r="Q59" s="6"/>
      <c r="R59" s="6"/>
      <c r="S59" s="6"/>
      <c r="T59" s="6"/>
      <c r="U59" s="6"/>
      <c r="V59" s="6"/>
      <c r="W59" s="6"/>
      <c r="X59" s="6"/>
      <c r="Y59" s="6"/>
      <c r="Z59" s="6"/>
      <c r="AA59" s="6"/>
      <c r="AB59" s="6"/>
    </row>
    <row r="60" hidden="1" outlineLevel="1">
      <c r="A60" s="1"/>
      <c r="B60" s="6"/>
      <c r="C60" s="1"/>
      <c r="D60" s="1"/>
      <c r="E60" s="2"/>
      <c r="F60" s="1"/>
      <c r="G60" s="7" t="s">
        <v>163</v>
      </c>
      <c r="H60" s="16"/>
      <c r="I60" s="4"/>
      <c r="J60" s="4" t="b">
        <v>0</v>
      </c>
      <c r="K60" s="4" t="b">
        <v>0</v>
      </c>
      <c r="L60" s="1"/>
      <c r="M60" s="6"/>
      <c r="N60" s="6"/>
      <c r="O60" s="6"/>
      <c r="P60" s="6"/>
      <c r="Q60" s="6"/>
      <c r="R60" s="6"/>
      <c r="S60" s="6"/>
      <c r="T60" s="6"/>
      <c r="U60" s="6"/>
      <c r="V60" s="6"/>
      <c r="W60" s="6"/>
      <c r="X60" s="6"/>
      <c r="Y60" s="6"/>
      <c r="Z60" s="6"/>
      <c r="AA60" s="6"/>
      <c r="AB60" s="6"/>
    </row>
    <row r="61" hidden="1" outlineLevel="1">
      <c r="A61" s="1"/>
      <c r="B61" s="6"/>
      <c r="C61" s="1"/>
      <c r="D61" s="1"/>
      <c r="E61" s="2"/>
      <c r="F61" s="1"/>
      <c r="G61" s="7" t="s">
        <v>164</v>
      </c>
      <c r="H61" s="16"/>
      <c r="I61" s="4"/>
      <c r="J61" s="4" t="b">
        <v>0</v>
      </c>
      <c r="K61" s="4" t="b">
        <v>0</v>
      </c>
      <c r="L61" s="1"/>
      <c r="M61" s="6"/>
      <c r="N61" s="6"/>
      <c r="O61" s="6"/>
      <c r="P61" s="6"/>
      <c r="Q61" s="6"/>
      <c r="R61" s="6"/>
      <c r="S61" s="6"/>
      <c r="T61" s="6"/>
      <c r="U61" s="6"/>
      <c r="V61" s="6"/>
      <c r="W61" s="6"/>
      <c r="X61" s="6"/>
      <c r="Y61" s="6"/>
      <c r="Z61" s="6"/>
      <c r="AA61" s="6"/>
      <c r="AB61" s="6"/>
    </row>
    <row r="62" hidden="1" outlineLevel="1">
      <c r="A62" s="1"/>
      <c r="B62" s="6"/>
      <c r="C62" s="1"/>
      <c r="D62" s="1"/>
      <c r="E62" s="2"/>
      <c r="F62" s="1"/>
      <c r="G62" s="7" t="s">
        <v>165</v>
      </c>
      <c r="H62" s="16"/>
      <c r="I62" s="4"/>
      <c r="J62" s="4" t="b">
        <v>0</v>
      </c>
      <c r="K62" s="4" t="b">
        <v>0</v>
      </c>
      <c r="L62" s="1"/>
      <c r="M62" s="6"/>
      <c r="N62" s="6"/>
      <c r="O62" s="6"/>
      <c r="P62" s="6"/>
      <c r="Q62" s="6"/>
      <c r="R62" s="6"/>
      <c r="S62" s="6"/>
      <c r="T62" s="6"/>
      <c r="U62" s="6"/>
      <c r="V62" s="6"/>
      <c r="W62" s="6"/>
      <c r="X62" s="6"/>
      <c r="Y62" s="6"/>
      <c r="Z62" s="6"/>
      <c r="AA62" s="6"/>
      <c r="AB62" s="6"/>
    </row>
    <row r="63" hidden="1" outlineLevel="1">
      <c r="A63" s="1"/>
      <c r="B63" s="6"/>
      <c r="C63" s="1"/>
      <c r="D63" s="1"/>
      <c r="E63" s="2"/>
      <c r="F63" s="1"/>
      <c r="G63" s="7" t="s">
        <v>166</v>
      </c>
      <c r="H63" s="16"/>
      <c r="I63" s="4"/>
      <c r="J63" s="4" t="b">
        <v>0</v>
      </c>
      <c r="K63" s="4" t="b">
        <v>0</v>
      </c>
      <c r="L63" s="1"/>
      <c r="M63" s="6"/>
      <c r="N63" s="6"/>
      <c r="O63" s="6"/>
      <c r="P63" s="6"/>
      <c r="Q63" s="6"/>
      <c r="R63" s="6"/>
      <c r="S63" s="6"/>
      <c r="T63" s="6"/>
      <c r="U63" s="6"/>
      <c r="V63" s="6"/>
      <c r="W63" s="6"/>
      <c r="X63" s="6"/>
      <c r="Y63" s="6"/>
      <c r="Z63" s="6"/>
      <c r="AA63" s="6"/>
      <c r="AB63" s="6"/>
    </row>
    <row r="64" hidden="1" outlineLevel="1">
      <c r="A64" s="1"/>
      <c r="B64" s="6"/>
      <c r="C64" s="1"/>
      <c r="D64" s="1"/>
      <c r="E64" s="2"/>
      <c r="F64" s="1"/>
      <c r="G64" s="7" t="s">
        <v>167</v>
      </c>
      <c r="H64" s="16"/>
      <c r="I64" s="4"/>
      <c r="J64" s="4" t="b">
        <v>0</v>
      </c>
      <c r="K64" s="4" t="b">
        <v>0</v>
      </c>
      <c r="L64" s="1"/>
      <c r="M64" s="6"/>
      <c r="N64" s="6"/>
      <c r="O64" s="6"/>
      <c r="P64" s="6"/>
      <c r="Q64" s="6"/>
      <c r="R64" s="6"/>
      <c r="S64" s="6"/>
      <c r="T64" s="6"/>
      <c r="U64" s="6"/>
      <c r="V64" s="6"/>
      <c r="W64" s="6"/>
      <c r="X64" s="6"/>
      <c r="Y64" s="6"/>
      <c r="Z64" s="6"/>
      <c r="AA64" s="6"/>
      <c r="AB64" s="6"/>
    </row>
    <row r="65" hidden="1" outlineLevel="1">
      <c r="A65" s="1"/>
      <c r="B65" s="6"/>
      <c r="C65" s="1"/>
      <c r="D65" s="1"/>
      <c r="E65" s="2"/>
      <c r="F65" s="1"/>
      <c r="G65" s="7" t="s">
        <v>168</v>
      </c>
      <c r="H65" s="16"/>
      <c r="I65" s="4"/>
      <c r="J65" s="4" t="b">
        <v>0</v>
      </c>
      <c r="K65" s="4" t="b">
        <v>0</v>
      </c>
      <c r="L65" s="1"/>
      <c r="M65" s="6"/>
      <c r="N65" s="6"/>
      <c r="O65" s="6"/>
      <c r="P65" s="6"/>
      <c r="Q65" s="6"/>
      <c r="R65" s="6"/>
      <c r="S65" s="6"/>
      <c r="T65" s="6"/>
      <c r="U65" s="6"/>
      <c r="V65" s="6"/>
      <c r="W65" s="6"/>
      <c r="X65" s="6"/>
      <c r="Y65" s="6"/>
      <c r="Z65" s="6"/>
      <c r="AA65" s="6"/>
      <c r="AB65" s="6"/>
    </row>
    <row r="66" hidden="1" outlineLevel="1">
      <c r="A66" s="1"/>
      <c r="B66" s="6"/>
      <c r="C66" s="1"/>
      <c r="D66" s="1"/>
      <c r="E66" s="2"/>
      <c r="F66" s="1"/>
      <c r="G66" s="7" t="s">
        <v>169</v>
      </c>
      <c r="H66" s="16"/>
      <c r="I66" s="4"/>
      <c r="J66" s="4" t="b">
        <v>0</v>
      </c>
      <c r="K66" s="4" t="b">
        <v>0</v>
      </c>
      <c r="L66" s="1"/>
      <c r="M66" s="6"/>
      <c r="N66" s="6"/>
      <c r="O66" s="6"/>
      <c r="P66" s="6"/>
      <c r="Q66" s="6"/>
      <c r="R66" s="6"/>
      <c r="S66" s="6"/>
      <c r="T66" s="6"/>
      <c r="U66" s="6"/>
      <c r="V66" s="6"/>
      <c r="W66" s="6"/>
      <c r="X66" s="6"/>
      <c r="Y66" s="6"/>
      <c r="Z66" s="6"/>
      <c r="AA66" s="6"/>
      <c r="AB66" s="6"/>
    </row>
    <row r="67" hidden="1" outlineLevel="1">
      <c r="A67" s="1"/>
      <c r="B67" s="6"/>
      <c r="C67" s="1"/>
      <c r="D67" s="1"/>
      <c r="E67" s="2"/>
      <c r="F67" s="1"/>
      <c r="G67" s="7" t="s">
        <v>170</v>
      </c>
      <c r="H67" s="16"/>
      <c r="I67" s="4"/>
      <c r="J67" s="4" t="b">
        <v>0</v>
      </c>
      <c r="K67" s="4" t="b">
        <v>0</v>
      </c>
      <c r="L67" s="1"/>
      <c r="M67" s="6"/>
      <c r="N67" s="6"/>
      <c r="O67" s="6"/>
      <c r="P67" s="6"/>
      <c r="Q67" s="6"/>
      <c r="R67" s="6"/>
      <c r="S67" s="6"/>
      <c r="T67" s="6"/>
      <c r="U67" s="6"/>
      <c r="V67" s="6"/>
      <c r="W67" s="6"/>
      <c r="X67" s="6"/>
      <c r="Y67" s="6"/>
      <c r="Z67" s="6"/>
      <c r="AA67" s="6"/>
      <c r="AB67" s="6"/>
    </row>
    <row r="68" hidden="1" outlineLevel="1">
      <c r="A68" s="1"/>
      <c r="B68" s="1"/>
      <c r="C68" s="1"/>
      <c r="D68" s="1"/>
      <c r="E68" s="2"/>
      <c r="F68" s="1" t="s">
        <v>171</v>
      </c>
      <c r="G68" s="7" t="s">
        <v>172</v>
      </c>
      <c r="H68" s="16"/>
      <c r="I68" s="4"/>
      <c r="J68" s="4" t="b">
        <v>0</v>
      </c>
      <c r="K68" s="4" t="b">
        <v>0</v>
      </c>
      <c r="L68" s="1"/>
      <c r="M68" s="6"/>
      <c r="N68" s="6"/>
      <c r="O68" s="6"/>
      <c r="P68" s="6"/>
      <c r="Q68" s="6"/>
      <c r="R68" s="6"/>
      <c r="S68" s="6"/>
      <c r="T68" s="6"/>
      <c r="U68" s="6"/>
      <c r="V68" s="6"/>
      <c r="W68" s="6"/>
      <c r="X68" s="6"/>
      <c r="Y68" s="6"/>
      <c r="Z68" s="6"/>
      <c r="AA68" s="6"/>
      <c r="AB68" s="6"/>
    </row>
    <row r="69" hidden="1" outlineLevel="1">
      <c r="A69" s="1"/>
      <c r="B69" s="1"/>
      <c r="C69" s="1"/>
      <c r="D69" s="1"/>
      <c r="E69" s="2"/>
      <c r="F69" s="1" t="s">
        <v>173</v>
      </c>
      <c r="G69" s="7" t="s">
        <v>174</v>
      </c>
      <c r="H69" s="16"/>
      <c r="I69" s="4"/>
      <c r="J69" s="4" t="b">
        <v>0</v>
      </c>
      <c r="K69" s="4" t="b">
        <v>0</v>
      </c>
      <c r="L69" s="1"/>
      <c r="M69" s="6"/>
      <c r="N69" s="6"/>
      <c r="O69" s="6"/>
      <c r="P69" s="6"/>
      <c r="Q69" s="6"/>
      <c r="R69" s="6"/>
      <c r="S69" s="6"/>
      <c r="T69" s="6"/>
      <c r="U69" s="6"/>
      <c r="V69" s="6"/>
      <c r="W69" s="6"/>
      <c r="X69" s="6"/>
      <c r="Y69" s="6"/>
      <c r="Z69" s="6"/>
      <c r="AA69" s="6"/>
      <c r="AB69" s="6"/>
    </row>
    <row r="70" hidden="1" outlineLevel="1">
      <c r="A70" s="1"/>
      <c r="B70" s="1"/>
      <c r="C70" s="1"/>
      <c r="D70" s="1"/>
      <c r="E70" s="2"/>
      <c r="F70" s="1" t="s">
        <v>175</v>
      </c>
      <c r="G70" s="7" t="s">
        <v>176</v>
      </c>
      <c r="H70" s="16"/>
      <c r="I70" s="4"/>
      <c r="J70" s="4" t="b">
        <v>0</v>
      </c>
      <c r="K70" s="4" t="b">
        <v>0</v>
      </c>
      <c r="L70" s="1"/>
      <c r="M70" s="6"/>
      <c r="N70" s="6"/>
      <c r="O70" s="6"/>
      <c r="P70" s="6"/>
      <c r="Q70" s="6"/>
      <c r="R70" s="6"/>
      <c r="S70" s="6"/>
      <c r="T70" s="6"/>
      <c r="U70" s="6"/>
      <c r="V70" s="6"/>
      <c r="W70" s="6"/>
      <c r="X70" s="6"/>
      <c r="Y70" s="6"/>
      <c r="Z70" s="6"/>
      <c r="AA70" s="6"/>
      <c r="AB70" s="6"/>
    </row>
    <row r="71" hidden="1" outlineLevel="1">
      <c r="A71" s="1"/>
      <c r="B71" s="1"/>
      <c r="C71" s="4"/>
      <c r="D71" s="1"/>
      <c r="E71" s="2"/>
      <c r="F71" s="1" t="s">
        <v>177</v>
      </c>
      <c r="G71" s="7" t="s">
        <v>178</v>
      </c>
      <c r="H71" s="16"/>
      <c r="I71" s="4"/>
      <c r="J71" s="4" t="b">
        <v>0</v>
      </c>
      <c r="K71" s="4" t="b">
        <v>0</v>
      </c>
      <c r="L71" s="1"/>
      <c r="M71" s="6"/>
      <c r="N71" s="6"/>
      <c r="O71" s="6"/>
      <c r="P71" s="6"/>
      <c r="Q71" s="6"/>
      <c r="R71" s="6"/>
      <c r="S71" s="6"/>
      <c r="T71" s="6"/>
      <c r="U71" s="6"/>
      <c r="V71" s="6"/>
      <c r="W71" s="6"/>
      <c r="X71" s="6"/>
      <c r="Y71" s="6"/>
      <c r="Z71" s="6"/>
      <c r="AA71" s="6"/>
      <c r="AB71" s="6"/>
    </row>
    <row r="72" hidden="1" outlineLevel="1">
      <c r="A72" s="1"/>
      <c r="B72" s="6"/>
      <c r="C72" s="1"/>
      <c r="D72" s="1"/>
      <c r="E72" s="2"/>
      <c r="F72" s="1"/>
      <c r="G72" s="7" t="s">
        <v>179</v>
      </c>
      <c r="H72" s="16"/>
      <c r="I72" s="4"/>
      <c r="J72" s="4" t="b">
        <v>0</v>
      </c>
      <c r="K72" s="4" t="b">
        <v>0</v>
      </c>
      <c r="L72" s="1"/>
      <c r="M72" s="6"/>
      <c r="N72" s="6"/>
      <c r="O72" s="6"/>
      <c r="P72" s="6"/>
      <c r="Q72" s="6"/>
      <c r="R72" s="6"/>
      <c r="S72" s="6"/>
      <c r="T72" s="6"/>
      <c r="U72" s="6"/>
      <c r="V72" s="6"/>
      <c r="W72" s="6"/>
      <c r="X72" s="6"/>
      <c r="Y72" s="6"/>
      <c r="Z72" s="6"/>
      <c r="AA72" s="6"/>
      <c r="AB72" s="6"/>
    </row>
    <row r="73" hidden="1" outlineLevel="1">
      <c r="A73" s="1"/>
      <c r="B73" s="1"/>
      <c r="C73" s="1"/>
      <c r="D73" s="1"/>
      <c r="E73" s="2"/>
      <c r="F73" s="1"/>
      <c r="G73" s="7" t="s">
        <v>180</v>
      </c>
      <c r="H73" s="16"/>
      <c r="I73" s="4"/>
      <c r="J73" s="4" t="b">
        <v>0</v>
      </c>
      <c r="K73" s="4" t="b">
        <v>0</v>
      </c>
      <c r="L73" s="1"/>
      <c r="M73" s="6"/>
      <c r="N73" s="6"/>
      <c r="O73" s="6"/>
      <c r="P73" s="6"/>
      <c r="Q73" s="6"/>
      <c r="R73" s="6"/>
      <c r="S73" s="6"/>
      <c r="T73" s="6"/>
      <c r="U73" s="6"/>
      <c r="V73" s="6"/>
      <c r="W73" s="6"/>
      <c r="X73" s="6"/>
      <c r="Y73" s="6"/>
      <c r="Z73" s="6"/>
      <c r="AA73" s="6"/>
      <c r="AB73" s="6"/>
    </row>
    <row r="74" hidden="1" outlineLevel="1">
      <c r="A74" s="1"/>
      <c r="B74" s="17"/>
      <c r="C74" s="1"/>
      <c r="D74" s="17"/>
      <c r="E74" s="18" t="s">
        <v>181</v>
      </c>
      <c r="F74" s="1" t="s">
        <v>182</v>
      </c>
      <c r="G74" s="19" t="s">
        <v>183</v>
      </c>
      <c r="H74" s="20"/>
      <c r="I74" s="21"/>
      <c r="J74" s="21" t="b">
        <v>0</v>
      </c>
      <c r="K74" s="21" t="b">
        <v>0</v>
      </c>
      <c r="L74" s="1" t="s">
        <v>184</v>
      </c>
      <c r="M74" s="17" t="s">
        <v>62</v>
      </c>
      <c r="N74" s="22"/>
      <c r="O74" s="22"/>
      <c r="P74" s="22"/>
      <c r="Q74" s="22"/>
      <c r="R74" s="22"/>
      <c r="S74" s="22"/>
      <c r="T74" s="22"/>
      <c r="U74" s="22"/>
      <c r="V74" s="22"/>
      <c r="W74" s="22"/>
      <c r="X74" s="22"/>
      <c r="Y74" s="22"/>
      <c r="Z74" s="22"/>
      <c r="AA74" s="22"/>
      <c r="AB74" s="22"/>
    </row>
    <row r="75" hidden="1" outlineLevel="1">
      <c r="A75" s="1"/>
      <c r="B75" s="1"/>
      <c r="C75" s="1"/>
      <c r="D75" s="1"/>
      <c r="E75" s="2" t="s">
        <v>181</v>
      </c>
      <c r="F75" s="1" t="s">
        <v>185</v>
      </c>
      <c r="G75" s="7" t="s">
        <v>186</v>
      </c>
      <c r="H75" s="16"/>
      <c r="I75" s="4"/>
      <c r="J75" s="4" t="b">
        <v>0</v>
      </c>
      <c r="K75" s="4" t="b">
        <v>0</v>
      </c>
      <c r="L75" s="1" t="s">
        <v>184</v>
      </c>
      <c r="M75" s="1" t="s">
        <v>62</v>
      </c>
      <c r="N75" s="6"/>
      <c r="O75" s="6"/>
      <c r="P75" s="6"/>
      <c r="Q75" s="6"/>
      <c r="R75" s="6"/>
      <c r="S75" s="6"/>
      <c r="T75" s="6"/>
      <c r="U75" s="6"/>
      <c r="V75" s="6"/>
      <c r="W75" s="6"/>
      <c r="X75" s="6"/>
      <c r="Y75" s="6"/>
      <c r="Z75" s="6"/>
      <c r="AA75" s="6"/>
      <c r="AB75" s="6"/>
    </row>
    <row r="76" hidden="1" outlineLevel="1">
      <c r="A76" s="1"/>
      <c r="B76" s="6"/>
      <c r="C76" s="1"/>
      <c r="D76" s="1"/>
      <c r="E76" s="23"/>
      <c r="F76" s="1"/>
      <c r="G76" s="7" t="s">
        <v>187</v>
      </c>
      <c r="H76" s="16"/>
      <c r="I76" s="4"/>
      <c r="J76" s="4" t="b">
        <v>0</v>
      </c>
      <c r="K76" s="4" t="b">
        <v>0</v>
      </c>
      <c r="L76" s="6"/>
      <c r="M76" s="6"/>
      <c r="N76" s="6"/>
      <c r="O76" s="6"/>
      <c r="P76" s="6"/>
      <c r="Q76" s="6"/>
      <c r="R76" s="6"/>
      <c r="S76" s="6"/>
      <c r="T76" s="6"/>
      <c r="U76" s="6"/>
      <c r="V76" s="6"/>
      <c r="W76" s="6"/>
      <c r="X76" s="6"/>
      <c r="Y76" s="6"/>
      <c r="Z76" s="6"/>
      <c r="AA76" s="6"/>
      <c r="AB76" s="6"/>
    </row>
    <row r="77" hidden="1" outlineLevel="1">
      <c r="A77" s="1"/>
      <c r="B77" s="1"/>
      <c r="C77" s="1"/>
      <c r="D77" s="1"/>
      <c r="E77" s="2" t="s">
        <v>188</v>
      </c>
      <c r="F77" s="1" t="s">
        <v>189</v>
      </c>
      <c r="G77" s="7" t="s">
        <v>190</v>
      </c>
      <c r="H77" s="16"/>
      <c r="I77" s="4"/>
      <c r="J77" s="4" t="b">
        <v>0</v>
      </c>
      <c r="K77" s="4" t="b">
        <v>0</v>
      </c>
      <c r="L77" s="1" t="s">
        <v>191</v>
      </c>
      <c r="M77" s="1" t="s">
        <v>62</v>
      </c>
      <c r="N77" s="6"/>
      <c r="O77" s="6"/>
      <c r="P77" s="6"/>
      <c r="Q77" s="6"/>
      <c r="R77" s="6"/>
      <c r="S77" s="6"/>
      <c r="T77" s="6"/>
      <c r="U77" s="6"/>
      <c r="V77" s="6"/>
      <c r="W77" s="6"/>
      <c r="X77" s="6"/>
      <c r="Y77" s="6"/>
      <c r="Z77" s="6"/>
      <c r="AA77" s="6"/>
      <c r="AB77" s="6"/>
    </row>
    <row r="78" hidden="1" outlineLevel="1">
      <c r="A78" s="1"/>
      <c r="B78" s="1"/>
      <c r="C78" s="1"/>
      <c r="D78" s="1"/>
      <c r="E78" s="2" t="s">
        <v>192</v>
      </c>
      <c r="F78" s="1" t="s">
        <v>193</v>
      </c>
      <c r="G78" s="7" t="s">
        <v>194</v>
      </c>
      <c r="H78" s="16"/>
      <c r="I78" s="4"/>
      <c r="J78" s="4" t="b">
        <v>0</v>
      </c>
      <c r="K78" s="4" t="b">
        <v>0</v>
      </c>
      <c r="L78" s="1" t="s">
        <v>58</v>
      </c>
      <c r="M78" s="1" t="s">
        <v>62</v>
      </c>
      <c r="N78" s="6"/>
      <c r="O78" s="6"/>
      <c r="P78" s="6"/>
      <c r="Q78" s="6"/>
      <c r="R78" s="6"/>
      <c r="S78" s="6"/>
      <c r="T78" s="6"/>
      <c r="U78" s="6"/>
      <c r="V78" s="6"/>
      <c r="W78" s="6"/>
      <c r="X78" s="6"/>
      <c r="Y78" s="6"/>
      <c r="Z78" s="6"/>
      <c r="AA78" s="6"/>
      <c r="AB78" s="6"/>
    </row>
    <row r="79" hidden="1" outlineLevel="1">
      <c r="A79" s="1"/>
      <c r="B79" s="1"/>
      <c r="C79" s="1"/>
      <c r="D79" s="1"/>
      <c r="E79" s="2" t="s">
        <v>195</v>
      </c>
      <c r="F79" s="1" t="s">
        <v>196</v>
      </c>
      <c r="G79" s="7" t="s">
        <v>197</v>
      </c>
      <c r="H79" s="16"/>
      <c r="I79" s="4"/>
      <c r="J79" s="4" t="b">
        <v>0</v>
      </c>
      <c r="K79" s="4" t="b">
        <v>0</v>
      </c>
      <c r="L79" s="1" t="s">
        <v>198</v>
      </c>
      <c r="M79" s="1" t="s">
        <v>62</v>
      </c>
      <c r="N79" s="6"/>
      <c r="O79" s="6"/>
      <c r="P79" s="6"/>
      <c r="Q79" s="6"/>
      <c r="R79" s="6"/>
      <c r="S79" s="6"/>
      <c r="T79" s="6"/>
      <c r="U79" s="6"/>
      <c r="V79" s="6"/>
      <c r="W79" s="6"/>
      <c r="X79" s="6"/>
      <c r="Y79" s="6"/>
      <c r="Z79" s="6"/>
      <c r="AA79" s="6"/>
      <c r="AB79" s="6"/>
    </row>
    <row r="80" hidden="1" outlineLevel="1">
      <c r="A80" s="1"/>
      <c r="B80" s="1"/>
      <c r="C80" s="1"/>
      <c r="D80" s="1"/>
      <c r="E80" s="2" t="s">
        <v>199</v>
      </c>
      <c r="F80" s="1" t="s">
        <v>200</v>
      </c>
      <c r="G80" s="7" t="s">
        <v>201</v>
      </c>
      <c r="H80" s="16"/>
      <c r="I80" s="4"/>
      <c r="J80" s="4" t="b">
        <v>0</v>
      </c>
      <c r="K80" s="4" t="b">
        <v>0</v>
      </c>
      <c r="L80" s="1" t="s">
        <v>202</v>
      </c>
      <c r="M80" s="1" t="s">
        <v>62</v>
      </c>
      <c r="N80" s="1" t="s">
        <v>203</v>
      </c>
      <c r="O80" s="1"/>
      <c r="P80" s="1"/>
      <c r="Q80" s="1"/>
      <c r="R80" s="1"/>
      <c r="S80" s="1"/>
      <c r="T80" s="1"/>
      <c r="U80" s="1"/>
      <c r="V80" s="1"/>
      <c r="W80" s="1"/>
      <c r="X80" s="1"/>
      <c r="Y80" s="1"/>
      <c r="Z80" s="1"/>
      <c r="AA80" s="1"/>
      <c r="AB80" s="1"/>
    </row>
    <row r="81" hidden="1" outlineLevel="1">
      <c r="A81" s="1"/>
      <c r="B81" s="1"/>
      <c r="C81" s="1"/>
      <c r="D81" s="1"/>
      <c r="E81" s="2" t="s">
        <v>195</v>
      </c>
      <c r="F81" s="1" t="s">
        <v>204</v>
      </c>
      <c r="G81" s="7" t="s">
        <v>205</v>
      </c>
      <c r="H81" s="16"/>
      <c r="I81" s="4"/>
      <c r="J81" s="4" t="b">
        <v>0</v>
      </c>
      <c r="K81" s="4" t="b">
        <v>0</v>
      </c>
      <c r="L81" s="12" t="s">
        <v>206</v>
      </c>
      <c r="M81" s="1" t="s">
        <v>62</v>
      </c>
      <c r="N81" s="6"/>
      <c r="O81" s="6"/>
      <c r="P81" s="6"/>
      <c r="Q81" s="6"/>
      <c r="R81" s="6"/>
      <c r="S81" s="6"/>
      <c r="T81" s="6"/>
      <c r="U81" s="6"/>
      <c r="V81" s="6"/>
      <c r="W81" s="6"/>
      <c r="X81" s="6"/>
      <c r="Y81" s="6"/>
      <c r="Z81" s="6"/>
      <c r="AA81" s="6"/>
      <c r="AB81" s="6"/>
    </row>
    <row r="82" hidden="1" outlineLevel="1">
      <c r="A82" s="1"/>
      <c r="B82" s="1"/>
      <c r="C82" s="1"/>
      <c r="D82" s="1"/>
      <c r="E82" s="2" t="s">
        <v>207</v>
      </c>
      <c r="F82" s="1" t="s">
        <v>208</v>
      </c>
      <c r="G82" s="7" t="s">
        <v>209</v>
      </c>
      <c r="H82" s="16"/>
      <c r="I82" s="4"/>
      <c r="J82" s="4" t="b">
        <v>0</v>
      </c>
      <c r="K82" s="4" t="b">
        <v>0</v>
      </c>
      <c r="L82" s="1" t="s">
        <v>210</v>
      </c>
      <c r="M82" s="1" t="s">
        <v>62</v>
      </c>
      <c r="N82" s="6"/>
      <c r="O82" s="6"/>
      <c r="P82" s="6"/>
      <c r="Q82" s="6"/>
      <c r="R82" s="6"/>
      <c r="S82" s="6"/>
      <c r="T82" s="6"/>
      <c r="U82" s="6"/>
      <c r="V82" s="6"/>
      <c r="W82" s="6"/>
      <c r="X82" s="6"/>
      <c r="Y82" s="6"/>
      <c r="Z82" s="6"/>
      <c r="AA82" s="6"/>
      <c r="AB82" s="6"/>
    </row>
    <row r="83" hidden="1" outlineLevel="1">
      <c r="A83" s="1"/>
      <c r="B83" s="1"/>
      <c r="C83" s="1"/>
      <c r="D83" s="1"/>
      <c r="E83" s="2" t="s">
        <v>134</v>
      </c>
      <c r="F83" s="1" t="s">
        <v>211</v>
      </c>
      <c r="G83" s="7" t="s">
        <v>212</v>
      </c>
      <c r="H83" s="16"/>
      <c r="I83" s="4"/>
      <c r="J83" s="4" t="b">
        <v>0</v>
      </c>
      <c r="K83" s="4" t="b">
        <v>0</v>
      </c>
      <c r="L83" s="12" t="s">
        <v>213</v>
      </c>
      <c r="M83" s="1" t="s">
        <v>62</v>
      </c>
      <c r="N83" s="6"/>
      <c r="O83" s="6"/>
      <c r="P83" s="6"/>
      <c r="Q83" s="6"/>
      <c r="R83" s="6"/>
      <c r="S83" s="6"/>
      <c r="T83" s="6"/>
      <c r="U83" s="6"/>
      <c r="V83" s="6"/>
      <c r="W83" s="6"/>
      <c r="X83" s="6"/>
      <c r="Y83" s="6"/>
      <c r="Z83" s="6"/>
      <c r="AA83" s="6"/>
      <c r="AB83" s="6"/>
    </row>
    <row r="84" hidden="1" outlineLevel="1">
      <c r="A84" s="1"/>
      <c r="B84" s="1"/>
      <c r="C84" s="1"/>
      <c r="D84" s="1"/>
      <c r="E84" s="2" t="s">
        <v>214</v>
      </c>
      <c r="F84" s="1" t="s">
        <v>215</v>
      </c>
      <c r="G84" s="7" t="s">
        <v>216</v>
      </c>
      <c r="H84" s="16"/>
      <c r="I84" s="4"/>
      <c r="J84" s="4" t="b">
        <v>0</v>
      </c>
      <c r="K84" s="4" t="b">
        <v>0</v>
      </c>
      <c r="L84" s="12" t="s">
        <v>217</v>
      </c>
      <c r="M84" s="1" t="s">
        <v>62</v>
      </c>
      <c r="N84" s="6"/>
      <c r="O84" s="6"/>
      <c r="P84" s="6"/>
      <c r="Q84" s="6"/>
      <c r="R84" s="6"/>
      <c r="S84" s="6"/>
      <c r="T84" s="6"/>
      <c r="U84" s="6"/>
      <c r="V84" s="6"/>
      <c r="W84" s="6"/>
      <c r="X84" s="6"/>
      <c r="Y84" s="6"/>
      <c r="Z84" s="6"/>
      <c r="AA84" s="6"/>
      <c r="AB84" s="6"/>
    </row>
    <row r="85" hidden="1" outlineLevel="1">
      <c r="A85" s="1"/>
      <c r="B85" s="1"/>
      <c r="C85" s="1"/>
      <c r="D85" s="1"/>
      <c r="E85" s="2" t="s">
        <v>134</v>
      </c>
      <c r="F85" s="1" t="s">
        <v>218</v>
      </c>
      <c r="G85" s="7" t="s">
        <v>219</v>
      </c>
      <c r="H85" s="16"/>
      <c r="I85" s="4"/>
      <c r="J85" s="4" t="b">
        <v>0</v>
      </c>
      <c r="K85" s="4" t="b">
        <v>0</v>
      </c>
      <c r="L85" s="12" t="s">
        <v>220</v>
      </c>
      <c r="M85" s="1" t="s">
        <v>62</v>
      </c>
      <c r="N85" s="6"/>
      <c r="O85" s="6"/>
      <c r="P85" s="6"/>
      <c r="Q85" s="6"/>
      <c r="R85" s="6"/>
      <c r="S85" s="6"/>
      <c r="T85" s="6"/>
      <c r="U85" s="6"/>
      <c r="V85" s="6"/>
      <c r="W85" s="6"/>
      <c r="X85" s="6"/>
      <c r="Y85" s="6"/>
      <c r="Z85" s="6"/>
      <c r="AA85" s="6"/>
      <c r="AB85" s="6"/>
    </row>
    <row r="86" hidden="1" outlineLevel="1">
      <c r="A86" s="1"/>
      <c r="B86" s="1"/>
      <c r="C86" s="1"/>
      <c r="D86" s="1"/>
      <c r="E86" s="2" t="s">
        <v>134</v>
      </c>
      <c r="F86" s="1" t="s">
        <v>221</v>
      </c>
      <c r="G86" s="7" t="s">
        <v>222</v>
      </c>
      <c r="H86" s="16"/>
      <c r="I86" s="4"/>
      <c r="J86" s="4" t="b">
        <v>0</v>
      </c>
      <c r="K86" s="4" t="b">
        <v>0</v>
      </c>
      <c r="L86" s="12" t="s">
        <v>223</v>
      </c>
      <c r="M86" s="1" t="s">
        <v>62</v>
      </c>
      <c r="N86" s="6"/>
      <c r="O86" s="6"/>
      <c r="P86" s="6"/>
      <c r="Q86" s="6"/>
      <c r="R86" s="6"/>
      <c r="S86" s="6"/>
      <c r="T86" s="6"/>
      <c r="U86" s="6"/>
      <c r="V86" s="6"/>
      <c r="W86" s="6"/>
      <c r="X86" s="6"/>
      <c r="Y86" s="6"/>
      <c r="Z86" s="6"/>
      <c r="AA86" s="6"/>
      <c r="AB86" s="6"/>
    </row>
    <row r="87" hidden="1" outlineLevel="1">
      <c r="A87" s="1"/>
      <c r="B87" s="1"/>
      <c r="C87" s="1"/>
      <c r="D87" s="1"/>
      <c r="E87" s="2" t="s">
        <v>214</v>
      </c>
      <c r="F87" s="1" t="s">
        <v>224</v>
      </c>
      <c r="G87" s="7" t="s">
        <v>225</v>
      </c>
      <c r="H87" s="16"/>
      <c r="I87" s="4"/>
      <c r="J87" s="4" t="b">
        <v>0</v>
      </c>
      <c r="K87" s="4" t="b">
        <v>0</v>
      </c>
      <c r="L87" s="12" t="s">
        <v>226</v>
      </c>
      <c r="M87" s="1" t="s">
        <v>62</v>
      </c>
      <c r="N87" s="6"/>
      <c r="O87" s="6"/>
      <c r="P87" s="6"/>
      <c r="Q87" s="6"/>
      <c r="R87" s="6"/>
      <c r="S87" s="6"/>
      <c r="T87" s="6"/>
      <c r="U87" s="6"/>
      <c r="V87" s="6"/>
      <c r="W87" s="6"/>
      <c r="X87" s="6"/>
      <c r="Y87" s="6"/>
      <c r="Z87" s="6"/>
      <c r="AA87" s="6"/>
      <c r="AB87" s="6"/>
    </row>
    <row r="88" hidden="1" outlineLevel="1">
      <c r="A88" s="1"/>
      <c r="B88" s="1"/>
      <c r="C88" s="1"/>
      <c r="D88" s="1"/>
      <c r="E88" s="2" t="s">
        <v>214</v>
      </c>
      <c r="F88" s="1" t="s">
        <v>227</v>
      </c>
      <c r="G88" s="7" t="s">
        <v>228</v>
      </c>
      <c r="H88" s="16"/>
      <c r="I88" s="4"/>
      <c r="J88" s="4" t="b">
        <v>0</v>
      </c>
      <c r="K88" s="4" t="b">
        <v>0</v>
      </c>
      <c r="L88" s="1" t="s">
        <v>229</v>
      </c>
      <c r="M88" s="1" t="s">
        <v>62</v>
      </c>
      <c r="N88" s="6"/>
      <c r="O88" s="6"/>
      <c r="P88" s="6"/>
      <c r="Q88" s="6"/>
      <c r="R88" s="6"/>
      <c r="S88" s="6"/>
      <c r="T88" s="6"/>
      <c r="U88" s="6"/>
      <c r="V88" s="6"/>
      <c r="W88" s="6"/>
      <c r="X88" s="6"/>
      <c r="Y88" s="6"/>
      <c r="Z88" s="6"/>
      <c r="AA88" s="6"/>
      <c r="AB88" s="6"/>
    </row>
    <row r="89" hidden="1" outlineLevel="1">
      <c r="A89" s="1"/>
      <c r="B89" s="1"/>
      <c r="C89" s="1"/>
      <c r="D89" s="1"/>
      <c r="E89" s="2" t="s">
        <v>214</v>
      </c>
      <c r="F89" s="1" t="s">
        <v>230</v>
      </c>
      <c r="G89" s="7" t="s">
        <v>231</v>
      </c>
      <c r="H89" s="16"/>
      <c r="I89" s="4"/>
      <c r="J89" s="4" t="b">
        <v>0</v>
      </c>
      <c r="K89" s="4" t="b">
        <v>0</v>
      </c>
      <c r="L89" s="1" t="s">
        <v>229</v>
      </c>
      <c r="M89" s="1" t="s">
        <v>62</v>
      </c>
      <c r="N89" s="6"/>
      <c r="O89" s="6"/>
      <c r="P89" s="6"/>
      <c r="Q89" s="6"/>
      <c r="R89" s="6"/>
      <c r="S89" s="6"/>
      <c r="T89" s="6"/>
      <c r="U89" s="6"/>
      <c r="V89" s="6"/>
      <c r="W89" s="6"/>
      <c r="X89" s="6"/>
      <c r="Y89" s="6"/>
      <c r="Z89" s="6"/>
      <c r="AA89" s="6"/>
      <c r="AB89" s="6"/>
    </row>
    <row r="90" hidden="1" outlineLevel="1">
      <c r="A90" s="1"/>
      <c r="B90" s="6"/>
      <c r="C90" s="1"/>
      <c r="D90" s="1"/>
      <c r="E90" s="2" t="s">
        <v>144</v>
      </c>
      <c r="F90" s="1" t="s">
        <v>232</v>
      </c>
      <c r="G90" s="7" t="s">
        <v>233</v>
      </c>
      <c r="H90" s="16"/>
      <c r="I90" s="4"/>
      <c r="J90" s="4" t="b">
        <v>0</v>
      </c>
      <c r="K90" s="4" t="b">
        <v>0</v>
      </c>
      <c r="L90" s="1"/>
      <c r="M90" s="1" t="s">
        <v>62</v>
      </c>
      <c r="N90" s="1" t="s">
        <v>234</v>
      </c>
      <c r="O90" s="1"/>
      <c r="P90" s="1"/>
      <c r="Q90" s="1"/>
      <c r="R90" s="1"/>
      <c r="S90" s="1"/>
      <c r="T90" s="1"/>
      <c r="U90" s="1"/>
      <c r="V90" s="1"/>
      <c r="W90" s="1"/>
      <c r="X90" s="1"/>
      <c r="Y90" s="1"/>
      <c r="Z90" s="1"/>
      <c r="AA90" s="1"/>
      <c r="AB90" s="1"/>
    </row>
    <row r="91" hidden="1" outlineLevel="1">
      <c r="A91" s="1"/>
      <c r="B91" s="1"/>
      <c r="C91" s="1"/>
      <c r="D91" s="1"/>
      <c r="E91" s="2" t="s">
        <v>235</v>
      </c>
      <c r="F91" s="1" t="s">
        <v>236</v>
      </c>
      <c r="G91" s="7" t="s">
        <v>237</v>
      </c>
      <c r="H91" s="16"/>
      <c r="I91" s="4"/>
      <c r="J91" s="4" t="b">
        <v>0</v>
      </c>
      <c r="K91" s="4" t="b">
        <v>0</v>
      </c>
      <c r="L91" s="1" t="s">
        <v>229</v>
      </c>
      <c r="M91" s="1" t="s">
        <v>238</v>
      </c>
      <c r="N91" s="1" t="s">
        <v>239</v>
      </c>
      <c r="O91" s="1"/>
      <c r="P91" s="1"/>
      <c r="Q91" s="1"/>
      <c r="R91" s="1"/>
      <c r="S91" s="1"/>
      <c r="T91" s="1"/>
      <c r="U91" s="1"/>
      <c r="V91" s="1"/>
      <c r="W91" s="1"/>
      <c r="X91" s="1"/>
      <c r="Y91" s="1"/>
      <c r="Z91" s="1"/>
      <c r="AA91" s="1"/>
      <c r="AB91" s="1"/>
    </row>
    <row r="92" hidden="1" outlineLevel="1">
      <c r="A92" s="1"/>
      <c r="B92" s="1"/>
      <c r="C92" s="1"/>
      <c r="D92" s="1"/>
      <c r="E92" s="2" t="s">
        <v>240</v>
      </c>
      <c r="F92" s="1" t="s">
        <v>241</v>
      </c>
      <c r="G92" s="7" t="s">
        <v>242</v>
      </c>
      <c r="H92" s="16"/>
      <c r="I92" s="4"/>
      <c r="J92" s="4" t="b">
        <v>0</v>
      </c>
      <c r="K92" s="4" t="b">
        <v>0</v>
      </c>
      <c r="L92" s="1" t="s">
        <v>229</v>
      </c>
      <c r="M92" s="1" t="s">
        <v>238</v>
      </c>
      <c r="N92" s="1" t="s">
        <v>239</v>
      </c>
      <c r="O92" s="1"/>
      <c r="P92" s="1"/>
      <c r="Q92" s="1"/>
      <c r="R92" s="1"/>
      <c r="S92" s="1"/>
      <c r="T92" s="1"/>
      <c r="U92" s="1"/>
      <c r="V92" s="1"/>
      <c r="W92" s="1"/>
      <c r="X92" s="1"/>
      <c r="Y92" s="1"/>
      <c r="Z92" s="1"/>
      <c r="AA92" s="1"/>
      <c r="AB92" s="1"/>
    </row>
    <row r="93" hidden="1" outlineLevel="1">
      <c r="A93" s="1"/>
      <c r="B93" s="1"/>
      <c r="C93" s="1"/>
      <c r="D93" s="1"/>
      <c r="E93" s="2" t="s">
        <v>240</v>
      </c>
      <c r="F93" s="1" t="s">
        <v>243</v>
      </c>
      <c r="G93" s="7" t="s">
        <v>244</v>
      </c>
      <c r="H93" s="16"/>
      <c r="I93" s="4"/>
      <c r="J93" s="4" t="b">
        <v>0</v>
      </c>
      <c r="K93" s="4" t="b">
        <v>0</v>
      </c>
      <c r="L93" s="1" t="s">
        <v>245</v>
      </c>
      <c r="M93" s="1" t="s">
        <v>238</v>
      </c>
      <c r="N93" s="6"/>
      <c r="O93" s="6"/>
      <c r="P93" s="6"/>
      <c r="Q93" s="6"/>
      <c r="R93" s="6"/>
      <c r="S93" s="6"/>
      <c r="T93" s="6"/>
      <c r="U93" s="6"/>
      <c r="V93" s="6"/>
      <c r="W93" s="6"/>
      <c r="X93" s="6"/>
      <c r="Y93" s="6"/>
      <c r="Z93" s="6"/>
      <c r="AA93" s="6"/>
      <c r="AB93" s="6"/>
    </row>
    <row r="94" hidden="1" outlineLevel="1">
      <c r="A94" s="1"/>
      <c r="B94" s="1"/>
      <c r="C94" s="1"/>
      <c r="D94" s="1"/>
      <c r="E94" s="2" t="s">
        <v>140</v>
      </c>
      <c r="F94" s="1" t="s">
        <v>246</v>
      </c>
      <c r="G94" s="7" t="s">
        <v>247</v>
      </c>
      <c r="H94" s="16"/>
      <c r="I94" s="4"/>
      <c r="J94" s="4" t="b">
        <v>0</v>
      </c>
      <c r="K94" s="4" t="b">
        <v>0</v>
      </c>
      <c r="L94" s="1" t="s">
        <v>229</v>
      </c>
      <c r="M94" s="1" t="s">
        <v>238</v>
      </c>
      <c r="N94" s="6"/>
      <c r="O94" s="6"/>
      <c r="P94" s="6"/>
      <c r="Q94" s="6"/>
      <c r="R94" s="6"/>
      <c r="S94" s="6"/>
      <c r="T94" s="6"/>
      <c r="U94" s="6"/>
      <c r="V94" s="6"/>
      <c r="W94" s="6"/>
      <c r="X94" s="6"/>
      <c r="Y94" s="6"/>
      <c r="Z94" s="6"/>
      <c r="AA94" s="6"/>
      <c r="AB94" s="6"/>
    </row>
    <row r="95" hidden="1" outlineLevel="1">
      <c r="A95" s="1"/>
      <c r="B95" s="1"/>
      <c r="C95" s="1"/>
      <c r="D95" s="1"/>
      <c r="E95" s="2" t="s">
        <v>248</v>
      </c>
      <c r="F95" s="1" t="s">
        <v>249</v>
      </c>
      <c r="G95" s="7" t="s">
        <v>250</v>
      </c>
      <c r="H95" s="16"/>
      <c r="I95" s="4"/>
      <c r="J95" s="4" t="b">
        <v>0</v>
      </c>
      <c r="K95" s="4" t="b">
        <v>0</v>
      </c>
      <c r="L95" s="1" t="s">
        <v>251</v>
      </c>
      <c r="M95" s="1" t="s">
        <v>238</v>
      </c>
      <c r="N95" s="6"/>
      <c r="O95" s="6"/>
      <c r="P95" s="6"/>
      <c r="Q95" s="6"/>
      <c r="R95" s="6"/>
      <c r="S95" s="6"/>
      <c r="T95" s="6"/>
      <c r="U95" s="6"/>
      <c r="V95" s="6"/>
      <c r="W95" s="6"/>
      <c r="X95" s="6"/>
      <c r="Y95" s="6"/>
      <c r="Z95" s="6"/>
      <c r="AA95" s="6"/>
      <c r="AB95" s="6"/>
    </row>
    <row r="96" hidden="1" outlineLevel="1">
      <c r="A96" s="1"/>
      <c r="B96" s="1"/>
      <c r="C96" s="1"/>
      <c r="D96" s="1"/>
      <c r="E96" s="2" t="s">
        <v>248</v>
      </c>
      <c r="F96" s="1" t="s">
        <v>252</v>
      </c>
      <c r="G96" s="7" t="s">
        <v>253</v>
      </c>
      <c r="H96" s="16"/>
      <c r="I96" s="4"/>
      <c r="J96" s="4" t="b">
        <v>0</v>
      </c>
      <c r="K96" s="4" t="b">
        <v>0</v>
      </c>
      <c r="L96" s="1"/>
      <c r="M96" s="1" t="s">
        <v>62</v>
      </c>
      <c r="N96" s="6"/>
      <c r="O96" s="6"/>
      <c r="P96" s="6"/>
      <c r="Q96" s="6"/>
      <c r="R96" s="6"/>
      <c r="S96" s="6"/>
      <c r="T96" s="6"/>
      <c r="U96" s="6"/>
      <c r="V96" s="6"/>
      <c r="W96" s="6"/>
      <c r="X96" s="6"/>
      <c r="Y96" s="6"/>
      <c r="Z96" s="6"/>
      <c r="AA96" s="6"/>
      <c r="AB96" s="6"/>
    </row>
    <row r="97" hidden="1" outlineLevel="1">
      <c r="A97" s="1"/>
      <c r="B97" s="1"/>
      <c r="C97" s="1"/>
      <c r="D97" s="1"/>
      <c r="E97" s="2" t="s">
        <v>240</v>
      </c>
      <c r="F97" s="1" t="s">
        <v>254</v>
      </c>
      <c r="G97" s="7" t="s">
        <v>244</v>
      </c>
      <c r="H97" s="16"/>
      <c r="I97" s="4"/>
      <c r="J97" s="4" t="b">
        <v>1</v>
      </c>
      <c r="K97" s="4" t="b">
        <v>0</v>
      </c>
      <c r="L97" s="1" t="s">
        <v>255</v>
      </c>
      <c r="M97" s="1" t="s">
        <v>62</v>
      </c>
      <c r="N97" s="6"/>
      <c r="O97" s="6"/>
      <c r="P97" s="6"/>
      <c r="Q97" s="6"/>
      <c r="R97" s="6"/>
      <c r="S97" s="6"/>
      <c r="T97" s="6"/>
      <c r="U97" s="6"/>
      <c r="V97" s="6"/>
      <c r="W97" s="6"/>
      <c r="X97" s="6"/>
      <c r="Y97" s="6"/>
      <c r="Z97" s="6"/>
      <c r="AA97" s="6"/>
      <c r="AB97" s="6"/>
    </row>
    <row r="98" hidden="1" outlineLevel="1">
      <c r="A98" s="1"/>
      <c r="B98" s="1"/>
      <c r="C98" s="4"/>
      <c r="D98" s="1"/>
      <c r="E98" s="2" t="s">
        <v>137</v>
      </c>
      <c r="F98" s="1" t="s">
        <v>256</v>
      </c>
      <c r="G98" s="7" t="s">
        <v>257</v>
      </c>
      <c r="H98" s="16"/>
      <c r="I98" s="4"/>
      <c r="J98" s="4" t="b">
        <v>0</v>
      </c>
      <c r="K98" s="4" t="b">
        <v>0</v>
      </c>
      <c r="L98" s="1"/>
      <c r="M98" s="6"/>
      <c r="N98" s="6"/>
      <c r="O98" s="6"/>
      <c r="P98" s="6"/>
      <c r="Q98" s="6"/>
      <c r="R98" s="6"/>
      <c r="S98" s="6"/>
      <c r="T98" s="6"/>
      <c r="U98" s="6"/>
      <c r="V98" s="6"/>
      <c r="W98" s="6"/>
      <c r="X98" s="6"/>
      <c r="Y98" s="6"/>
      <c r="Z98" s="6"/>
      <c r="AA98" s="6"/>
      <c r="AB98" s="6"/>
    </row>
    <row r="99" hidden="1" outlineLevel="1">
      <c r="A99" s="1"/>
      <c r="B99" s="1"/>
      <c r="C99" s="4"/>
      <c r="D99" s="1"/>
      <c r="E99" s="2" t="s">
        <v>137</v>
      </c>
      <c r="F99" s="1" t="s">
        <v>258</v>
      </c>
      <c r="G99" s="7" t="s">
        <v>259</v>
      </c>
      <c r="H99" s="16"/>
      <c r="I99" s="4"/>
      <c r="J99" s="4" t="b">
        <v>0</v>
      </c>
      <c r="K99" s="4" t="b">
        <v>0</v>
      </c>
      <c r="L99" s="1"/>
      <c r="M99" s="6"/>
      <c r="N99" s="6"/>
      <c r="O99" s="6"/>
      <c r="P99" s="6"/>
      <c r="Q99" s="6"/>
      <c r="R99" s="6"/>
      <c r="S99" s="6"/>
      <c r="T99" s="6"/>
      <c r="U99" s="6"/>
      <c r="V99" s="6"/>
      <c r="W99" s="6"/>
      <c r="X99" s="6"/>
      <c r="Y99" s="6"/>
      <c r="Z99" s="6"/>
      <c r="AA99" s="6"/>
      <c r="AB99" s="6"/>
    </row>
    <row r="100" hidden="1" outlineLevel="1">
      <c r="A100" s="1"/>
      <c r="B100" s="1"/>
      <c r="C100" s="1"/>
      <c r="D100" s="24"/>
      <c r="E100" s="2" t="s">
        <v>260</v>
      </c>
      <c r="F100" s="5" t="s">
        <v>261</v>
      </c>
      <c r="G100" s="7" t="s">
        <v>262</v>
      </c>
      <c r="H100" s="16"/>
      <c r="I100" s="4"/>
      <c r="J100" s="4" t="b">
        <v>0</v>
      </c>
      <c r="K100" s="4" t="b">
        <v>0</v>
      </c>
      <c r="L100" s="1"/>
      <c r="M100" s="6"/>
      <c r="N100" s="6"/>
      <c r="O100" s="6"/>
      <c r="P100" s="6"/>
      <c r="Q100" s="6"/>
      <c r="R100" s="6"/>
      <c r="S100" s="6"/>
      <c r="T100" s="6"/>
      <c r="U100" s="6"/>
      <c r="V100" s="6"/>
      <c r="W100" s="6"/>
      <c r="X100" s="6"/>
      <c r="Y100" s="6"/>
      <c r="Z100" s="6"/>
      <c r="AA100" s="6"/>
      <c r="AB100" s="6"/>
    </row>
    <row r="101" hidden="1" outlineLevel="1">
      <c r="A101" s="1"/>
      <c r="B101" s="6"/>
      <c r="C101" s="1"/>
      <c r="D101" s="1"/>
      <c r="E101" s="2" t="s">
        <v>260</v>
      </c>
      <c r="F101" s="1" t="s">
        <v>263</v>
      </c>
      <c r="G101" s="7" t="s">
        <v>264</v>
      </c>
      <c r="H101" s="16"/>
      <c r="I101" s="4"/>
      <c r="J101" s="4" t="b">
        <v>0</v>
      </c>
      <c r="K101" s="4" t="b">
        <v>0</v>
      </c>
      <c r="L101" s="1"/>
      <c r="M101" s="6"/>
      <c r="N101" s="6"/>
      <c r="O101" s="6"/>
      <c r="P101" s="6"/>
      <c r="Q101" s="6"/>
      <c r="R101" s="6"/>
      <c r="S101" s="6"/>
      <c r="T101" s="6"/>
      <c r="U101" s="6"/>
      <c r="V101" s="6"/>
      <c r="W101" s="6"/>
      <c r="X101" s="6"/>
      <c r="Y101" s="6"/>
      <c r="Z101" s="6"/>
      <c r="AA101" s="6"/>
      <c r="AB101" s="6"/>
    </row>
    <row r="102" hidden="1" outlineLevel="1">
      <c r="A102" s="1"/>
      <c r="B102" s="6"/>
      <c r="C102" s="1"/>
      <c r="D102" s="1"/>
      <c r="E102" s="2" t="s">
        <v>260</v>
      </c>
      <c r="F102" s="1" t="s">
        <v>265</v>
      </c>
      <c r="G102" s="7" t="s">
        <v>266</v>
      </c>
      <c r="H102" s="16"/>
      <c r="I102" s="4"/>
      <c r="J102" s="4" t="b">
        <v>0</v>
      </c>
      <c r="K102" s="4" t="b">
        <v>0</v>
      </c>
      <c r="L102" s="1"/>
      <c r="M102" s="6"/>
      <c r="N102" s="6"/>
      <c r="O102" s="6"/>
      <c r="P102" s="6"/>
      <c r="Q102" s="6"/>
      <c r="R102" s="6"/>
      <c r="S102" s="6"/>
      <c r="T102" s="6"/>
      <c r="U102" s="6"/>
      <c r="V102" s="6"/>
      <c r="W102" s="6"/>
      <c r="X102" s="6"/>
      <c r="Y102" s="6"/>
      <c r="Z102" s="6"/>
      <c r="AA102" s="6"/>
      <c r="AB102" s="6"/>
    </row>
    <row r="103" hidden="1" outlineLevel="1">
      <c r="A103" s="1"/>
      <c r="B103" s="1"/>
      <c r="C103" s="1"/>
      <c r="D103" s="25"/>
      <c r="E103" s="2" t="s">
        <v>267</v>
      </c>
      <c r="F103" s="1" t="s">
        <v>268</v>
      </c>
      <c r="G103" s="7" t="s">
        <v>269</v>
      </c>
      <c r="H103" s="16"/>
      <c r="I103" s="4"/>
      <c r="J103" s="4" t="b">
        <v>0</v>
      </c>
      <c r="K103" s="4" t="b">
        <v>0</v>
      </c>
      <c r="L103" s="1"/>
      <c r="M103" s="6"/>
      <c r="N103" s="6"/>
      <c r="O103" s="6"/>
      <c r="P103" s="6"/>
      <c r="Q103" s="6"/>
      <c r="R103" s="6"/>
      <c r="S103" s="6"/>
      <c r="T103" s="6"/>
      <c r="U103" s="6"/>
      <c r="V103" s="6"/>
      <c r="W103" s="6"/>
      <c r="X103" s="6"/>
      <c r="Y103" s="6"/>
      <c r="Z103" s="6"/>
      <c r="AA103" s="6"/>
      <c r="AB103" s="6"/>
    </row>
    <row r="104" hidden="1" outlineLevel="1">
      <c r="A104" s="1"/>
      <c r="B104" s="1"/>
      <c r="C104" s="1"/>
      <c r="D104" s="1"/>
      <c r="E104" s="2" t="s">
        <v>270</v>
      </c>
      <c r="F104" s="1" t="s">
        <v>271</v>
      </c>
      <c r="G104" s="7" t="s">
        <v>272</v>
      </c>
      <c r="H104" s="16"/>
      <c r="I104" s="4"/>
      <c r="J104" s="4" t="b">
        <v>0</v>
      </c>
      <c r="K104" s="4" t="b">
        <v>0</v>
      </c>
      <c r="L104" s="1"/>
      <c r="M104" s="6"/>
      <c r="N104" s="6"/>
      <c r="O104" s="6"/>
      <c r="P104" s="6"/>
      <c r="Q104" s="6"/>
      <c r="R104" s="6"/>
      <c r="S104" s="6"/>
      <c r="T104" s="6"/>
      <c r="U104" s="6"/>
      <c r="V104" s="6"/>
      <c r="W104" s="6"/>
      <c r="X104" s="6"/>
      <c r="Y104" s="6"/>
      <c r="Z104" s="6"/>
      <c r="AA104" s="6"/>
      <c r="AB104" s="6"/>
    </row>
    <row r="105" hidden="1" outlineLevel="1">
      <c r="A105" s="1"/>
      <c r="B105" s="1"/>
      <c r="C105" s="1"/>
      <c r="D105" s="1"/>
      <c r="E105" s="2" t="s">
        <v>270</v>
      </c>
      <c r="F105" s="1" t="s">
        <v>273</v>
      </c>
      <c r="G105" s="7" t="s">
        <v>274</v>
      </c>
      <c r="H105" s="16"/>
      <c r="I105" s="4"/>
      <c r="J105" s="4" t="b">
        <v>0</v>
      </c>
      <c r="K105" s="4" t="b">
        <v>0</v>
      </c>
      <c r="L105" s="1"/>
      <c r="M105" s="6"/>
      <c r="N105" s="6"/>
      <c r="O105" s="6"/>
      <c r="P105" s="6"/>
      <c r="Q105" s="6"/>
      <c r="R105" s="6"/>
      <c r="S105" s="6"/>
      <c r="T105" s="6"/>
      <c r="U105" s="6"/>
      <c r="V105" s="6"/>
      <c r="W105" s="6"/>
      <c r="X105" s="6"/>
      <c r="Y105" s="6"/>
      <c r="Z105" s="6"/>
      <c r="AA105" s="6"/>
      <c r="AB105" s="6"/>
    </row>
    <row r="106" hidden="1" outlineLevel="1">
      <c r="A106" s="1"/>
      <c r="B106" s="1"/>
      <c r="C106" s="1"/>
      <c r="D106" s="1"/>
      <c r="E106" s="2" t="s">
        <v>270</v>
      </c>
      <c r="F106" s="1" t="s">
        <v>275</v>
      </c>
      <c r="G106" s="7" t="s">
        <v>276</v>
      </c>
      <c r="H106" s="16"/>
      <c r="I106" s="4"/>
      <c r="J106" s="4" t="b">
        <v>0</v>
      </c>
      <c r="K106" s="4" t="b">
        <v>0</v>
      </c>
      <c r="L106" s="1"/>
      <c r="M106" s="6"/>
      <c r="N106" s="6"/>
      <c r="O106" s="6"/>
      <c r="P106" s="6"/>
      <c r="Q106" s="6"/>
      <c r="R106" s="6"/>
      <c r="S106" s="6"/>
      <c r="T106" s="6"/>
      <c r="U106" s="6"/>
      <c r="V106" s="6"/>
      <c r="W106" s="6"/>
      <c r="X106" s="6"/>
      <c r="Y106" s="6"/>
      <c r="Z106" s="6"/>
      <c r="AA106" s="6"/>
      <c r="AB106" s="6"/>
    </row>
    <row r="107" hidden="1" outlineLevel="1">
      <c r="A107" s="1"/>
      <c r="B107" s="1"/>
      <c r="C107" s="1"/>
      <c r="D107" s="1"/>
      <c r="E107" s="2" t="s">
        <v>277</v>
      </c>
      <c r="F107" s="1" t="s">
        <v>278</v>
      </c>
      <c r="G107" s="7" t="s">
        <v>279</v>
      </c>
      <c r="H107" s="16"/>
      <c r="I107" s="4"/>
      <c r="J107" s="4" t="b">
        <v>0</v>
      </c>
      <c r="K107" s="4" t="b">
        <v>0</v>
      </c>
      <c r="L107" s="1"/>
      <c r="M107" s="6"/>
      <c r="N107" s="1" t="s">
        <v>280</v>
      </c>
      <c r="O107" s="1"/>
      <c r="P107" s="1"/>
      <c r="Q107" s="1"/>
      <c r="R107" s="1"/>
      <c r="S107" s="1"/>
      <c r="T107" s="1"/>
      <c r="U107" s="1"/>
      <c r="V107" s="1"/>
      <c r="W107" s="1"/>
      <c r="X107" s="1"/>
      <c r="Y107" s="1"/>
      <c r="Z107" s="1"/>
      <c r="AA107" s="1"/>
      <c r="AB107" s="1"/>
    </row>
    <row r="108" hidden="1" outlineLevel="1">
      <c r="A108" s="1"/>
      <c r="B108" s="1"/>
      <c r="C108" s="1"/>
      <c r="D108" s="1"/>
      <c r="E108" s="2" t="s">
        <v>281</v>
      </c>
      <c r="F108" s="1" t="s">
        <v>282</v>
      </c>
      <c r="G108" s="7" t="s">
        <v>283</v>
      </c>
      <c r="H108" s="16"/>
      <c r="I108" s="4"/>
      <c r="J108" s="4" t="b">
        <v>0</v>
      </c>
      <c r="K108" s="4" t="b">
        <v>0</v>
      </c>
      <c r="L108" s="1"/>
      <c r="M108" s="6"/>
      <c r="N108" s="6"/>
      <c r="O108" s="6"/>
      <c r="P108" s="6"/>
      <c r="Q108" s="6"/>
      <c r="R108" s="6"/>
      <c r="S108" s="6"/>
      <c r="T108" s="6"/>
      <c r="U108" s="6"/>
      <c r="V108" s="6"/>
      <c r="W108" s="6"/>
      <c r="X108" s="6"/>
      <c r="Y108" s="6"/>
      <c r="Z108" s="6"/>
      <c r="AA108" s="6"/>
      <c r="AB108" s="6"/>
    </row>
    <row r="109" hidden="1" outlineLevel="1">
      <c r="A109" s="1"/>
      <c r="B109" s="1"/>
      <c r="C109" s="1"/>
      <c r="D109" s="1"/>
      <c r="E109" s="26">
        <v>45264.0</v>
      </c>
      <c r="F109" s="1" t="s">
        <v>284</v>
      </c>
      <c r="G109" s="7" t="s">
        <v>285</v>
      </c>
      <c r="H109" s="16"/>
      <c r="I109" s="4"/>
      <c r="J109" s="4" t="b">
        <v>0</v>
      </c>
      <c r="K109" s="4" t="b">
        <v>0</v>
      </c>
      <c r="L109" s="1"/>
      <c r="M109" s="6"/>
      <c r="N109" s="6"/>
      <c r="O109" s="6"/>
      <c r="P109" s="6"/>
      <c r="Q109" s="6"/>
      <c r="R109" s="6"/>
      <c r="S109" s="6"/>
      <c r="T109" s="6"/>
      <c r="U109" s="6"/>
      <c r="V109" s="6"/>
      <c r="W109" s="6"/>
      <c r="X109" s="6"/>
      <c r="Y109" s="6"/>
      <c r="Z109" s="6"/>
      <c r="AA109" s="6"/>
      <c r="AB109" s="6"/>
    </row>
    <row r="110" collapsed="1">
      <c r="A110" s="1"/>
      <c r="B110" s="1"/>
      <c r="C110" s="1"/>
      <c r="D110" s="1"/>
      <c r="E110" s="2" t="s">
        <v>286</v>
      </c>
      <c r="F110" s="1"/>
      <c r="G110" s="5"/>
      <c r="H110" s="16"/>
      <c r="I110" s="4"/>
      <c r="J110" s="4" t="b">
        <v>0</v>
      </c>
      <c r="K110" s="4" t="b">
        <v>0</v>
      </c>
      <c r="L110" s="1"/>
      <c r="M110" s="6"/>
      <c r="N110" s="6"/>
      <c r="O110" s="6"/>
      <c r="P110" s="6"/>
      <c r="Q110" s="6"/>
      <c r="R110" s="6"/>
      <c r="S110" s="6"/>
      <c r="T110" s="6"/>
      <c r="U110" s="6"/>
      <c r="V110" s="6"/>
      <c r="W110" s="6"/>
      <c r="X110" s="6"/>
      <c r="Y110" s="6"/>
      <c r="Z110" s="6"/>
      <c r="AA110" s="6"/>
      <c r="AB110" s="6"/>
    </row>
    <row r="111" hidden="1" outlineLevel="1">
      <c r="A111" s="1"/>
      <c r="B111" s="1"/>
      <c r="C111" s="1"/>
      <c r="D111" s="1"/>
      <c r="E111" s="26">
        <v>45255.0</v>
      </c>
      <c r="F111" s="1" t="s">
        <v>287</v>
      </c>
      <c r="G111" s="7" t="s">
        <v>288</v>
      </c>
      <c r="H111" s="16"/>
      <c r="I111" s="4"/>
      <c r="J111" s="4" t="b">
        <v>0</v>
      </c>
      <c r="K111" s="4" t="b">
        <v>0</v>
      </c>
      <c r="L111" s="1"/>
      <c r="M111" s="6"/>
      <c r="N111" s="6"/>
      <c r="O111" s="6"/>
      <c r="P111" s="6"/>
      <c r="Q111" s="6"/>
      <c r="R111" s="6"/>
      <c r="S111" s="6"/>
      <c r="T111" s="6"/>
      <c r="U111" s="6"/>
      <c r="V111" s="6"/>
      <c r="W111" s="6"/>
      <c r="X111" s="6"/>
      <c r="Y111" s="6"/>
      <c r="Z111" s="6"/>
      <c r="AA111" s="6"/>
      <c r="AB111" s="6"/>
    </row>
    <row r="112" hidden="1" outlineLevel="1">
      <c r="A112" s="1"/>
      <c r="B112" s="1"/>
      <c r="C112" s="1"/>
      <c r="D112" s="1"/>
      <c r="E112" s="26">
        <v>45261.0</v>
      </c>
      <c r="F112" s="1" t="s">
        <v>289</v>
      </c>
      <c r="G112" s="7" t="s">
        <v>290</v>
      </c>
      <c r="H112" s="16"/>
      <c r="I112" s="4"/>
      <c r="J112" s="4" t="b">
        <v>0</v>
      </c>
      <c r="K112" s="4" t="b">
        <v>0</v>
      </c>
      <c r="L112" s="1"/>
      <c r="M112" s="6"/>
      <c r="N112" s="6"/>
      <c r="O112" s="6"/>
      <c r="P112" s="6"/>
      <c r="Q112" s="6"/>
      <c r="R112" s="6"/>
      <c r="S112" s="6"/>
      <c r="T112" s="6"/>
      <c r="U112" s="6"/>
      <c r="V112" s="6"/>
      <c r="W112" s="6"/>
      <c r="X112" s="6"/>
      <c r="Y112" s="6"/>
      <c r="Z112" s="6"/>
      <c r="AA112" s="6"/>
      <c r="AB112" s="6"/>
    </row>
    <row r="113" hidden="1" outlineLevel="1">
      <c r="A113" s="1"/>
      <c r="B113" s="1"/>
      <c r="C113" s="1"/>
      <c r="D113" s="1"/>
      <c r="E113" s="26">
        <v>45267.0</v>
      </c>
      <c r="F113" s="1" t="s">
        <v>291</v>
      </c>
      <c r="G113" s="7" t="s">
        <v>292</v>
      </c>
      <c r="H113" s="16"/>
      <c r="I113" s="4"/>
      <c r="J113" s="4" t="b">
        <v>0</v>
      </c>
      <c r="K113" s="4" t="b">
        <v>0</v>
      </c>
      <c r="L113" s="1"/>
      <c r="M113" s="6"/>
      <c r="N113" s="6"/>
      <c r="O113" s="6"/>
      <c r="P113" s="6"/>
      <c r="Q113" s="6"/>
      <c r="R113" s="6"/>
      <c r="S113" s="6"/>
      <c r="T113" s="6"/>
      <c r="U113" s="6"/>
      <c r="V113" s="6"/>
      <c r="W113" s="6"/>
      <c r="X113" s="6"/>
      <c r="Y113" s="6"/>
      <c r="Z113" s="6"/>
      <c r="AA113" s="6"/>
      <c r="AB113" s="6"/>
    </row>
    <row r="114" hidden="1" outlineLevel="1">
      <c r="A114" s="1"/>
      <c r="B114" s="1"/>
      <c r="C114" s="1"/>
      <c r="D114" s="1"/>
      <c r="E114" s="26">
        <v>45267.0</v>
      </c>
      <c r="F114" s="1" t="s">
        <v>293</v>
      </c>
      <c r="G114" s="7" t="s">
        <v>294</v>
      </c>
      <c r="H114" s="16"/>
      <c r="I114" s="4"/>
      <c r="J114" s="4" t="b">
        <v>0</v>
      </c>
      <c r="K114" s="4" t="b">
        <v>0</v>
      </c>
      <c r="L114" s="1"/>
      <c r="M114" s="6"/>
      <c r="N114" s="6"/>
      <c r="O114" s="6"/>
      <c r="P114" s="6"/>
      <c r="Q114" s="6"/>
      <c r="R114" s="6"/>
      <c r="S114" s="6"/>
      <c r="T114" s="6"/>
      <c r="U114" s="6"/>
      <c r="V114" s="6"/>
      <c r="W114" s="6"/>
      <c r="X114" s="6"/>
      <c r="Y114" s="6"/>
      <c r="Z114" s="6"/>
      <c r="AA114" s="6"/>
      <c r="AB114" s="6"/>
    </row>
    <row r="115" hidden="1" outlineLevel="1">
      <c r="A115" s="1"/>
      <c r="B115" s="1"/>
      <c r="C115" s="1"/>
      <c r="D115" s="1"/>
      <c r="E115" s="26"/>
      <c r="F115" s="1" t="s">
        <v>295</v>
      </c>
      <c r="G115" s="7" t="s">
        <v>296</v>
      </c>
      <c r="H115" s="16"/>
      <c r="I115" s="4"/>
      <c r="J115" s="4" t="b">
        <v>0</v>
      </c>
      <c r="K115" s="4" t="b">
        <v>0</v>
      </c>
      <c r="L115" s="1"/>
      <c r="M115" s="6"/>
      <c r="N115" s="6"/>
      <c r="O115" s="6"/>
      <c r="P115" s="6"/>
      <c r="Q115" s="6"/>
      <c r="R115" s="6"/>
      <c r="S115" s="6"/>
      <c r="T115" s="6"/>
      <c r="U115" s="6"/>
      <c r="V115" s="6"/>
      <c r="W115" s="6"/>
      <c r="X115" s="6"/>
      <c r="Y115" s="6"/>
      <c r="Z115" s="6"/>
      <c r="AA115" s="6"/>
      <c r="AB115" s="6"/>
    </row>
    <row r="116" hidden="1" outlineLevel="1">
      <c r="A116" s="1"/>
      <c r="B116" s="1"/>
      <c r="C116" s="1"/>
      <c r="D116" s="12"/>
      <c r="E116" s="26">
        <v>45268.0</v>
      </c>
      <c r="F116" s="1" t="s">
        <v>297</v>
      </c>
      <c r="G116" s="7" t="s">
        <v>298</v>
      </c>
      <c r="H116" s="16"/>
      <c r="I116" s="4"/>
      <c r="J116" s="4" t="b">
        <v>0</v>
      </c>
      <c r="K116" s="4" t="b">
        <v>0</v>
      </c>
      <c r="L116" s="1"/>
      <c r="M116" s="6"/>
      <c r="N116" s="6"/>
      <c r="O116" s="6"/>
      <c r="P116" s="6"/>
      <c r="Q116" s="6"/>
      <c r="R116" s="6"/>
      <c r="S116" s="6"/>
      <c r="T116" s="6"/>
      <c r="U116" s="6"/>
      <c r="V116" s="6"/>
      <c r="W116" s="6"/>
      <c r="X116" s="6"/>
      <c r="Y116" s="6"/>
      <c r="Z116" s="6"/>
      <c r="AA116" s="6"/>
      <c r="AB116" s="6"/>
    </row>
    <row r="117" hidden="1" outlineLevel="1">
      <c r="A117" s="1"/>
      <c r="B117" s="1"/>
      <c r="C117" s="1"/>
      <c r="D117" s="1"/>
      <c r="E117" s="27">
        <v>45272.0</v>
      </c>
      <c r="F117" s="1" t="s">
        <v>299</v>
      </c>
      <c r="G117" s="7" t="s">
        <v>300</v>
      </c>
      <c r="H117" s="16" t="s">
        <v>301</v>
      </c>
      <c r="I117" s="4"/>
      <c r="J117" s="4" t="b">
        <v>0</v>
      </c>
      <c r="K117" s="4" t="b">
        <v>0</v>
      </c>
      <c r="L117" s="1"/>
      <c r="M117" s="6"/>
      <c r="N117" s="6"/>
      <c r="O117" s="6"/>
      <c r="P117" s="6"/>
      <c r="Q117" s="6"/>
      <c r="R117" s="6"/>
      <c r="S117" s="6"/>
      <c r="T117" s="6"/>
      <c r="U117" s="6"/>
      <c r="V117" s="6"/>
      <c r="W117" s="6"/>
      <c r="X117" s="6"/>
      <c r="Y117" s="6"/>
      <c r="Z117" s="6"/>
      <c r="AA117" s="6"/>
      <c r="AB117" s="6"/>
    </row>
    <row r="118" hidden="1" outlineLevel="1">
      <c r="A118" s="1"/>
      <c r="B118" s="1"/>
      <c r="C118" s="1"/>
      <c r="D118" s="1"/>
      <c r="E118" s="27">
        <v>45273.0</v>
      </c>
      <c r="F118" s="1" t="s">
        <v>302</v>
      </c>
      <c r="G118" s="7" t="s">
        <v>303</v>
      </c>
      <c r="H118" s="16"/>
      <c r="I118" s="4"/>
      <c r="J118" s="4" t="b">
        <v>0</v>
      </c>
      <c r="K118" s="4" t="b">
        <v>0</v>
      </c>
      <c r="L118" s="1"/>
      <c r="M118" s="6"/>
      <c r="N118" s="1" t="s">
        <v>304</v>
      </c>
      <c r="O118" s="1"/>
      <c r="P118" s="1"/>
      <c r="Q118" s="1"/>
      <c r="R118" s="1"/>
      <c r="S118" s="1"/>
      <c r="T118" s="1"/>
      <c r="U118" s="1"/>
      <c r="V118" s="1"/>
      <c r="W118" s="1"/>
      <c r="X118" s="1"/>
      <c r="Y118" s="1"/>
      <c r="Z118" s="1"/>
      <c r="AA118" s="1"/>
      <c r="AB118" s="1"/>
    </row>
    <row r="119" hidden="1" outlineLevel="1">
      <c r="A119" s="1"/>
      <c r="B119" s="1"/>
      <c r="C119" s="1"/>
      <c r="D119" s="1"/>
      <c r="E119" s="27">
        <v>45273.0</v>
      </c>
      <c r="F119" s="1" t="s">
        <v>305</v>
      </c>
      <c r="G119" s="7" t="s">
        <v>306</v>
      </c>
      <c r="H119" s="16"/>
      <c r="I119" s="4"/>
      <c r="J119" s="4" t="b">
        <v>0</v>
      </c>
      <c r="K119" s="4" t="b">
        <v>0</v>
      </c>
      <c r="L119" s="1"/>
      <c r="M119" s="6"/>
      <c r="N119" s="1" t="s">
        <v>307</v>
      </c>
      <c r="O119" s="1"/>
      <c r="P119" s="1"/>
      <c r="Q119" s="1"/>
      <c r="R119" s="1"/>
      <c r="S119" s="1"/>
      <c r="T119" s="1"/>
      <c r="U119" s="1"/>
      <c r="V119" s="1"/>
      <c r="W119" s="1"/>
      <c r="X119" s="1"/>
      <c r="Y119" s="1"/>
      <c r="Z119" s="1"/>
      <c r="AA119" s="1"/>
      <c r="AB119" s="1"/>
    </row>
    <row r="120" hidden="1" outlineLevel="1">
      <c r="A120" s="1"/>
      <c r="B120" s="1"/>
      <c r="C120" s="1"/>
      <c r="D120" s="1"/>
      <c r="E120" s="27">
        <v>45275.0</v>
      </c>
      <c r="F120" s="1" t="s">
        <v>308</v>
      </c>
      <c r="G120" s="7" t="s">
        <v>309</v>
      </c>
      <c r="H120" s="16"/>
      <c r="I120" s="4"/>
      <c r="J120" s="4" t="b">
        <v>0</v>
      </c>
      <c r="K120" s="4" t="b">
        <v>0</v>
      </c>
      <c r="L120" s="1"/>
      <c r="M120" s="6"/>
      <c r="N120" s="1" t="s">
        <v>310</v>
      </c>
      <c r="O120" s="1"/>
      <c r="P120" s="1"/>
      <c r="Q120" s="1"/>
      <c r="R120" s="1"/>
      <c r="S120" s="1"/>
      <c r="T120" s="1"/>
      <c r="U120" s="1"/>
      <c r="V120" s="1"/>
      <c r="W120" s="1"/>
      <c r="X120" s="1"/>
      <c r="Y120" s="1"/>
      <c r="Z120" s="1"/>
      <c r="AA120" s="1"/>
      <c r="AB120" s="1"/>
    </row>
    <row r="121" hidden="1" outlineLevel="1">
      <c r="A121" s="1"/>
      <c r="B121" s="1"/>
      <c r="C121" s="1"/>
      <c r="D121" s="1"/>
      <c r="E121" s="27">
        <v>45275.0</v>
      </c>
      <c r="F121" s="1" t="s">
        <v>311</v>
      </c>
      <c r="G121" s="7" t="s">
        <v>312</v>
      </c>
      <c r="H121" s="16"/>
      <c r="I121" s="4"/>
      <c r="J121" s="4" t="b">
        <v>1</v>
      </c>
      <c r="K121" s="4" t="b">
        <v>0</v>
      </c>
      <c r="L121" s="1" t="s">
        <v>313</v>
      </c>
      <c r="M121" s="6"/>
      <c r="N121" s="6"/>
      <c r="O121" s="6"/>
      <c r="P121" s="6"/>
      <c r="Q121" s="6"/>
      <c r="R121" s="6"/>
      <c r="S121" s="6"/>
      <c r="T121" s="6"/>
      <c r="U121" s="6"/>
      <c r="V121" s="6"/>
      <c r="W121" s="6"/>
      <c r="X121" s="6"/>
      <c r="Y121" s="6"/>
      <c r="Z121" s="6"/>
      <c r="AA121" s="6"/>
      <c r="AB121" s="6"/>
    </row>
    <row r="122" hidden="1" outlineLevel="1">
      <c r="A122" s="1"/>
      <c r="B122" s="1"/>
      <c r="C122" s="1"/>
      <c r="D122" s="1"/>
      <c r="E122" s="27">
        <v>45277.0</v>
      </c>
      <c r="F122" s="1" t="s">
        <v>314</v>
      </c>
      <c r="G122" s="7" t="s">
        <v>315</v>
      </c>
      <c r="H122" s="16"/>
      <c r="I122" s="4"/>
      <c r="J122" s="4" t="b">
        <v>0</v>
      </c>
      <c r="K122" s="4" t="b">
        <v>0</v>
      </c>
      <c r="L122" s="1"/>
      <c r="M122" s="6"/>
      <c r="N122" s="1" t="s">
        <v>316</v>
      </c>
      <c r="O122" s="1"/>
      <c r="P122" s="1"/>
      <c r="Q122" s="1"/>
      <c r="R122" s="1"/>
      <c r="S122" s="1"/>
      <c r="T122" s="1"/>
      <c r="U122" s="1"/>
      <c r="V122" s="1"/>
      <c r="W122" s="1"/>
      <c r="X122" s="1"/>
      <c r="Y122" s="1"/>
      <c r="Z122" s="1"/>
      <c r="AA122" s="1"/>
      <c r="AB122" s="1"/>
    </row>
    <row r="123" hidden="1" outlineLevel="1">
      <c r="A123" s="1"/>
      <c r="B123" s="1"/>
      <c r="C123" s="1"/>
      <c r="D123" s="1"/>
      <c r="E123" s="27">
        <v>45279.0</v>
      </c>
      <c r="F123" s="1" t="s">
        <v>317</v>
      </c>
      <c r="G123" s="7" t="s">
        <v>318</v>
      </c>
      <c r="H123" s="16"/>
      <c r="I123" s="4"/>
      <c r="J123" s="4" t="b">
        <v>0</v>
      </c>
      <c r="K123" s="4" t="b">
        <v>0</v>
      </c>
      <c r="L123" s="1"/>
      <c r="M123" s="6"/>
      <c r="N123" s="1" t="s">
        <v>319</v>
      </c>
      <c r="O123" s="1"/>
      <c r="P123" s="1"/>
      <c r="Q123" s="1"/>
      <c r="R123" s="1"/>
      <c r="S123" s="1"/>
      <c r="T123" s="1"/>
      <c r="U123" s="1"/>
      <c r="V123" s="1"/>
      <c r="W123" s="1"/>
      <c r="X123" s="1"/>
      <c r="Y123" s="1"/>
      <c r="Z123" s="1"/>
      <c r="AA123" s="1"/>
      <c r="AB123" s="1"/>
    </row>
    <row r="124" hidden="1" outlineLevel="1">
      <c r="A124" s="1"/>
      <c r="B124" s="1"/>
      <c r="C124" s="1"/>
      <c r="D124" s="1"/>
      <c r="E124" s="27">
        <v>45280.0</v>
      </c>
      <c r="F124" s="1" t="s">
        <v>320</v>
      </c>
      <c r="G124" s="7" t="s">
        <v>321</v>
      </c>
      <c r="H124" s="16"/>
      <c r="I124" s="4"/>
      <c r="J124" s="4" t="b">
        <v>0</v>
      </c>
      <c r="K124" s="4" t="b">
        <v>0</v>
      </c>
      <c r="L124" s="1"/>
      <c r="M124" s="6"/>
      <c r="N124" s="1" t="s">
        <v>322</v>
      </c>
      <c r="O124" s="1"/>
      <c r="P124" s="1"/>
      <c r="Q124" s="1"/>
      <c r="R124" s="1"/>
      <c r="S124" s="1"/>
      <c r="T124" s="1"/>
      <c r="U124" s="1"/>
      <c r="V124" s="1"/>
      <c r="W124" s="1"/>
      <c r="X124" s="1"/>
      <c r="Y124" s="1"/>
      <c r="Z124" s="1"/>
      <c r="AA124" s="1"/>
      <c r="AB124" s="1"/>
    </row>
    <row r="125" hidden="1" outlineLevel="1">
      <c r="A125" s="1"/>
      <c r="B125" s="1"/>
      <c r="C125" s="1"/>
      <c r="D125" s="1"/>
      <c r="E125" s="27">
        <v>45280.0</v>
      </c>
      <c r="F125" s="1" t="s">
        <v>323</v>
      </c>
      <c r="G125" s="7" t="s">
        <v>324</v>
      </c>
      <c r="H125" s="16"/>
      <c r="I125" s="4"/>
      <c r="J125" s="4" t="b">
        <v>0</v>
      </c>
      <c r="K125" s="4" t="b">
        <v>0</v>
      </c>
      <c r="L125" s="1"/>
      <c r="M125" s="6"/>
      <c r="N125" s="6"/>
      <c r="O125" s="6"/>
      <c r="P125" s="6"/>
      <c r="Q125" s="6"/>
      <c r="R125" s="6"/>
      <c r="S125" s="6"/>
      <c r="T125" s="6"/>
      <c r="U125" s="6"/>
      <c r="V125" s="6"/>
      <c r="W125" s="6"/>
      <c r="X125" s="6"/>
      <c r="Y125" s="6"/>
      <c r="Z125" s="6"/>
      <c r="AA125" s="6"/>
      <c r="AB125" s="6"/>
    </row>
    <row r="126" hidden="1" outlineLevel="1">
      <c r="A126" s="1"/>
      <c r="B126" s="1"/>
      <c r="C126" s="1"/>
      <c r="D126" s="1"/>
      <c r="E126" s="27">
        <v>45275.0</v>
      </c>
      <c r="F126" s="1" t="s">
        <v>325</v>
      </c>
      <c r="G126" s="7" t="s">
        <v>326</v>
      </c>
      <c r="H126" s="16"/>
      <c r="I126" s="4"/>
      <c r="J126" s="4" t="b">
        <v>0</v>
      </c>
      <c r="K126" s="4" t="b">
        <v>0</v>
      </c>
      <c r="L126" s="1"/>
      <c r="M126" s="6"/>
      <c r="N126" s="1" t="s">
        <v>327</v>
      </c>
      <c r="O126" s="1"/>
      <c r="P126" s="1"/>
      <c r="Q126" s="1"/>
      <c r="R126" s="1"/>
      <c r="S126" s="1"/>
      <c r="T126" s="1"/>
      <c r="U126" s="1"/>
      <c r="V126" s="1"/>
      <c r="W126" s="1"/>
      <c r="X126" s="1"/>
      <c r="Y126" s="1"/>
      <c r="Z126" s="1"/>
      <c r="AA126" s="1"/>
      <c r="AB126" s="1"/>
    </row>
    <row r="127" hidden="1" outlineLevel="1">
      <c r="A127" s="1"/>
      <c r="B127" s="1"/>
      <c r="C127" s="1"/>
      <c r="D127" s="1"/>
      <c r="E127" s="27">
        <v>45282.0</v>
      </c>
      <c r="F127" s="1" t="s">
        <v>328</v>
      </c>
      <c r="G127" s="7" t="s">
        <v>329</v>
      </c>
      <c r="H127" s="16"/>
      <c r="I127" s="4"/>
      <c r="J127" s="4" t="b">
        <v>0</v>
      </c>
      <c r="K127" s="4" t="b">
        <v>0</v>
      </c>
      <c r="L127" s="1"/>
      <c r="M127" s="6"/>
      <c r="N127" s="6"/>
      <c r="O127" s="6"/>
      <c r="P127" s="6"/>
      <c r="Q127" s="6"/>
      <c r="R127" s="6"/>
      <c r="S127" s="6"/>
      <c r="T127" s="6"/>
      <c r="U127" s="6"/>
      <c r="V127" s="6"/>
      <c r="W127" s="6"/>
      <c r="X127" s="6"/>
      <c r="Y127" s="6"/>
      <c r="Z127" s="6"/>
      <c r="AA127" s="6"/>
      <c r="AB127" s="6"/>
    </row>
    <row r="128" hidden="1" outlineLevel="1">
      <c r="A128" s="1"/>
      <c r="B128" s="1"/>
      <c r="C128" s="1"/>
      <c r="D128" s="1"/>
      <c r="E128" s="27">
        <v>45282.0</v>
      </c>
      <c r="F128" s="1" t="s">
        <v>330</v>
      </c>
      <c r="G128" s="7" t="s">
        <v>331</v>
      </c>
      <c r="H128" s="16"/>
      <c r="I128" s="4"/>
      <c r="J128" s="4" t="b">
        <v>1</v>
      </c>
      <c r="K128" s="4" t="b">
        <v>0</v>
      </c>
      <c r="L128" s="1" t="s">
        <v>332</v>
      </c>
      <c r="M128" s="6"/>
      <c r="N128" s="1" t="s">
        <v>333</v>
      </c>
      <c r="O128" s="1"/>
      <c r="P128" s="1"/>
      <c r="Q128" s="1"/>
      <c r="R128" s="1"/>
      <c r="S128" s="1"/>
      <c r="T128" s="1"/>
      <c r="U128" s="1"/>
      <c r="V128" s="1"/>
      <c r="W128" s="1"/>
      <c r="X128" s="1"/>
      <c r="Y128" s="1"/>
      <c r="Z128" s="1"/>
      <c r="AA128" s="1"/>
      <c r="AB128" s="1"/>
    </row>
    <row r="129" hidden="1" outlineLevel="1">
      <c r="A129" s="1"/>
      <c r="B129" s="1"/>
      <c r="C129" s="1"/>
      <c r="D129" s="1"/>
      <c r="E129" s="27">
        <v>45282.0</v>
      </c>
      <c r="F129" s="1" t="s">
        <v>334</v>
      </c>
      <c r="G129" s="7" t="s">
        <v>335</v>
      </c>
      <c r="H129" s="16"/>
      <c r="I129" s="4"/>
      <c r="J129" s="4" t="b">
        <v>0</v>
      </c>
      <c r="K129" s="4" t="b">
        <v>0</v>
      </c>
      <c r="L129" s="1"/>
      <c r="M129" s="6"/>
      <c r="N129" s="1" t="s">
        <v>336</v>
      </c>
      <c r="O129" s="1"/>
      <c r="P129" s="1"/>
      <c r="Q129" s="1"/>
      <c r="R129" s="1"/>
      <c r="S129" s="1"/>
      <c r="T129" s="1"/>
      <c r="U129" s="1"/>
      <c r="V129" s="1"/>
      <c r="W129" s="1"/>
      <c r="X129" s="1"/>
      <c r="Y129" s="1"/>
      <c r="Z129" s="1"/>
      <c r="AA129" s="1"/>
      <c r="AB129" s="1"/>
    </row>
    <row r="130" hidden="1" outlineLevel="1">
      <c r="A130" s="1"/>
      <c r="B130" s="1"/>
      <c r="C130" s="1"/>
      <c r="D130" s="1"/>
      <c r="E130" s="27">
        <v>45283.0</v>
      </c>
      <c r="F130" s="1" t="s">
        <v>337</v>
      </c>
      <c r="G130" s="5" t="s">
        <v>338</v>
      </c>
      <c r="H130" s="16"/>
      <c r="I130" s="4"/>
      <c r="J130" s="4" t="b">
        <v>0</v>
      </c>
      <c r="K130" s="4" t="b">
        <v>0</v>
      </c>
      <c r="L130" s="1"/>
      <c r="M130" s="6"/>
      <c r="N130" s="6"/>
      <c r="O130" s="6"/>
      <c r="P130" s="6"/>
      <c r="Q130" s="6"/>
      <c r="R130" s="6"/>
      <c r="S130" s="6"/>
      <c r="T130" s="6"/>
      <c r="U130" s="6"/>
      <c r="V130" s="6"/>
      <c r="W130" s="6"/>
      <c r="X130" s="6"/>
      <c r="Y130" s="6"/>
      <c r="Z130" s="6"/>
      <c r="AA130" s="6"/>
      <c r="AB130" s="6"/>
    </row>
    <row r="131" hidden="1" outlineLevel="1">
      <c r="A131" s="1"/>
      <c r="B131" s="1"/>
      <c r="C131" s="1"/>
      <c r="D131" s="1"/>
      <c r="E131" s="27">
        <v>45283.0</v>
      </c>
      <c r="F131" s="1" t="s">
        <v>339</v>
      </c>
      <c r="G131" s="7" t="s">
        <v>340</v>
      </c>
      <c r="H131" s="16"/>
      <c r="I131" s="4"/>
      <c r="J131" s="4" t="b">
        <v>0</v>
      </c>
      <c r="K131" s="4" t="b">
        <v>0</v>
      </c>
      <c r="L131" s="1"/>
      <c r="M131" s="6"/>
      <c r="N131" s="1" t="s">
        <v>341</v>
      </c>
      <c r="O131" s="1"/>
      <c r="P131" s="1"/>
      <c r="Q131" s="1"/>
      <c r="R131" s="1"/>
      <c r="S131" s="1"/>
      <c r="T131" s="1"/>
      <c r="U131" s="1"/>
      <c r="V131" s="1"/>
      <c r="W131" s="1"/>
      <c r="X131" s="1"/>
      <c r="Y131" s="1"/>
      <c r="Z131" s="1"/>
      <c r="AA131" s="1"/>
      <c r="AB131" s="1"/>
    </row>
    <row r="132" hidden="1" outlineLevel="1">
      <c r="A132" s="1"/>
      <c r="B132" s="1"/>
      <c r="C132" s="1"/>
      <c r="D132" s="1"/>
      <c r="E132" s="27">
        <v>45283.0</v>
      </c>
      <c r="F132" s="1" t="s">
        <v>342</v>
      </c>
      <c r="G132" s="7" t="s">
        <v>343</v>
      </c>
      <c r="H132" s="16"/>
      <c r="I132" s="4"/>
      <c r="J132" s="4" t="b">
        <v>0</v>
      </c>
      <c r="K132" s="4" t="b">
        <v>0</v>
      </c>
      <c r="L132" s="1"/>
      <c r="M132" s="6"/>
      <c r="N132" s="6"/>
      <c r="O132" s="6"/>
      <c r="P132" s="6"/>
      <c r="Q132" s="6"/>
      <c r="R132" s="6"/>
      <c r="S132" s="6"/>
      <c r="T132" s="6"/>
      <c r="U132" s="6"/>
      <c r="V132" s="6"/>
      <c r="W132" s="6"/>
      <c r="X132" s="6"/>
      <c r="Y132" s="6"/>
      <c r="Z132" s="6"/>
      <c r="AA132" s="6"/>
      <c r="AB132" s="6"/>
    </row>
    <row r="133" hidden="1" outlineLevel="1">
      <c r="A133" s="1"/>
      <c r="B133" s="1"/>
      <c r="C133" s="1"/>
      <c r="D133" s="1"/>
      <c r="E133" s="27">
        <v>45283.0</v>
      </c>
      <c r="F133" s="1" t="s">
        <v>344</v>
      </c>
      <c r="G133" s="7" t="s">
        <v>345</v>
      </c>
      <c r="H133" s="16"/>
      <c r="I133" s="4"/>
      <c r="J133" s="4" t="b">
        <v>0</v>
      </c>
      <c r="K133" s="4" t="b">
        <v>0</v>
      </c>
      <c r="L133" s="1"/>
      <c r="M133" s="6"/>
      <c r="N133" s="6"/>
      <c r="O133" s="6"/>
      <c r="P133" s="6"/>
      <c r="Q133" s="6"/>
      <c r="R133" s="6"/>
      <c r="S133" s="6"/>
      <c r="T133" s="6"/>
      <c r="U133" s="6"/>
      <c r="V133" s="6"/>
      <c r="W133" s="6"/>
      <c r="X133" s="6"/>
      <c r="Y133" s="6"/>
      <c r="Z133" s="6"/>
      <c r="AA133" s="6"/>
      <c r="AB133" s="6"/>
    </row>
    <row r="134" hidden="1" outlineLevel="1">
      <c r="A134" s="1"/>
      <c r="B134" s="1"/>
      <c r="C134" s="1"/>
      <c r="D134" s="1"/>
      <c r="E134" s="27">
        <v>45285.0</v>
      </c>
      <c r="F134" s="1" t="s">
        <v>346</v>
      </c>
      <c r="G134" s="7" t="s">
        <v>347</v>
      </c>
      <c r="H134" s="16"/>
      <c r="I134" s="4"/>
      <c r="J134" s="4" t="b">
        <v>0</v>
      </c>
      <c r="K134" s="4" t="b">
        <v>0</v>
      </c>
      <c r="L134" s="1"/>
      <c r="M134" s="6"/>
      <c r="N134" s="6"/>
      <c r="O134" s="6"/>
      <c r="P134" s="6"/>
      <c r="Q134" s="6"/>
      <c r="R134" s="6"/>
      <c r="S134" s="6"/>
      <c r="T134" s="6"/>
      <c r="U134" s="6"/>
      <c r="V134" s="6"/>
      <c r="W134" s="6"/>
      <c r="X134" s="6"/>
      <c r="Y134" s="6"/>
      <c r="Z134" s="6"/>
      <c r="AA134" s="6"/>
      <c r="AB134" s="6"/>
    </row>
    <row r="135" hidden="1" outlineLevel="1">
      <c r="A135" s="1"/>
      <c r="B135" s="1"/>
      <c r="C135" s="1"/>
      <c r="D135" s="1"/>
      <c r="E135" s="27">
        <v>45286.0</v>
      </c>
      <c r="F135" s="1" t="s">
        <v>348</v>
      </c>
      <c r="G135" s="7" t="s">
        <v>349</v>
      </c>
      <c r="H135" s="16"/>
      <c r="I135" s="4"/>
      <c r="J135" s="4" t="b">
        <v>0</v>
      </c>
      <c r="K135" s="4" t="b">
        <v>0</v>
      </c>
      <c r="L135" s="1"/>
      <c r="M135" s="6"/>
      <c r="N135" s="1" t="s">
        <v>350</v>
      </c>
      <c r="O135" s="1"/>
      <c r="P135" s="1"/>
      <c r="Q135" s="1"/>
      <c r="R135" s="1"/>
      <c r="S135" s="1"/>
      <c r="T135" s="1"/>
      <c r="U135" s="1"/>
      <c r="V135" s="1"/>
      <c r="W135" s="1"/>
      <c r="X135" s="1"/>
      <c r="Y135" s="1"/>
      <c r="Z135" s="1"/>
      <c r="AA135" s="1"/>
      <c r="AB135" s="1"/>
    </row>
    <row r="136" hidden="1" outlineLevel="1">
      <c r="A136" s="1"/>
      <c r="B136" s="1"/>
      <c r="C136" s="1"/>
      <c r="D136" s="1"/>
      <c r="E136" s="27">
        <v>45288.0</v>
      </c>
      <c r="F136" s="1" t="s">
        <v>351</v>
      </c>
      <c r="G136" s="7" t="s">
        <v>352</v>
      </c>
      <c r="H136" s="16"/>
      <c r="I136" s="4"/>
      <c r="J136" s="4" t="b">
        <v>0</v>
      </c>
      <c r="K136" s="4" t="b">
        <v>0</v>
      </c>
      <c r="L136" s="1"/>
      <c r="M136" s="6"/>
      <c r="N136" s="6"/>
      <c r="O136" s="6"/>
      <c r="P136" s="6"/>
      <c r="Q136" s="6"/>
      <c r="R136" s="6"/>
      <c r="S136" s="6"/>
      <c r="T136" s="6"/>
      <c r="U136" s="6"/>
      <c r="V136" s="6"/>
      <c r="W136" s="6"/>
      <c r="X136" s="6"/>
      <c r="Y136" s="6"/>
      <c r="Z136" s="6"/>
      <c r="AA136" s="6"/>
      <c r="AB136" s="6"/>
    </row>
    <row r="137" hidden="1" outlineLevel="1">
      <c r="A137" s="1"/>
      <c r="B137" s="1"/>
      <c r="C137" s="1"/>
      <c r="D137" s="1"/>
      <c r="E137" s="27">
        <v>45288.0</v>
      </c>
      <c r="F137" s="1" t="s">
        <v>353</v>
      </c>
      <c r="G137" s="7" t="s">
        <v>354</v>
      </c>
      <c r="H137" s="16"/>
      <c r="I137" s="4"/>
      <c r="J137" s="4" t="b">
        <v>0</v>
      </c>
      <c r="K137" s="4" t="b">
        <v>0</v>
      </c>
      <c r="L137" s="1"/>
      <c r="M137" s="6"/>
      <c r="N137" s="1" t="s">
        <v>355</v>
      </c>
      <c r="O137" s="1"/>
      <c r="P137" s="1"/>
      <c r="Q137" s="1"/>
      <c r="R137" s="1"/>
      <c r="S137" s="1"/>
      <c r="T137" s="1"/>
      <c r="U137" s="1"/>
      <c r="V137" s="1"/>
      <c r="W137" s="1"/>
      <c r="X137" s="1"/>
      <c r="Y137" s="1"/>
      <c r="Z137" s="1"/>
      <c r="AA137" s="1"/>
      <c r="AB137" s="1"/>
    </row>
    <row r="138" hidden="1" outlineLevel="1">
      <c r="A138" s="1"/>
      <c r="B138" s="1"/>
      <c r="C138" s="1"/>
      <c r="D138" s="1"/>
      <c r="E138" s="27">
        <v>45289.0</v>
      </c>
      <c r="F138" s="1" t="s">
        <v>356</v>
      </c>
      <c r="G138" s="7" t="s">
        <v>357</v>
      </c>
      <c r="H138" s="16"/>
      <c r="I138" s="4"/>
      <c r="J138" s="4" t="b">
        <v>0</v>
      </c>
      <c r="K138" s="4" t="b">
        <v>0</v>
      </c>
      <c r="L138" s="1"/>
      <c r="M138" s="6"/>
      <c r="N138" s="6"/>
      <c r="O138" s="6"/>
      <c r="P138" s="6"/>
      <c r="Q138" s="6"/>
      <c r="R138" s="6"/>
      <c r="S138" s="6"/>
      <c r="T138" s="6"/>
      <c r="U138" s="6"/>
      <c r="V138" s="6"/>
      <c r="W138" s="6"/>
      <c r="X138" s="6"/>
      <c r="Y138" s="6"/>
      <c r="Z138" s="6"/>
      <c r="AA138" s="6"/>
      <c r="AB138" s="6"/>
    </row>
    <row r="139" collapsed="1">
      <c r="A139" s="1"/>
      <c r="B139" s="1"/>
      <c r="C139" s="1"/>
      <c r="D139" s="1"/>
      <c r="E139" s="28" t="s">
        <v>358</v>
      </c>
      <c r="F139" s="4"/>
      <c r="G139" s="5"/>
      <c r="H139" s="16"/>
      <c r="I139" s="4"/>
      <c r="J139" s="4" t="b">
        <v>0</v>
      </c>
      <c r="K139" s="4" t="b">
        <v>0</v>
      </c>
      <c r="L139" s="1"/>
      <c r="M139" s="6"/>
      <c r="N139" s="1"/>
      <c r="O139" s="1"/>
      <c r="P139" s="1"/>
      <c r="Q139" s="1"/>
      <c r="R139" s="1"/>
      <c r="S139" s="1"/>
      <c r="T139" s="1"/>
      <c r="U139" s="1"/>
      <c r="V139" s="1"/>
      <c r="W139" s="1"/>
      <c r="X139" s="1"/>
      <c r="Y139" s="1"/>
      <c r="Z139" s="1"/>
      <c r="AA139" s="1"/>
      <c r="AB139" s="1"/>
    </row>
    <row r="140" hidden="1" outlineLevel="1">
      <c r="A140" s="1"/>
      <c r="B140" s="1"/>
      <c r="C140" s="1"/>
      <c r="D140" s="1"/>
      <c r="E140" s="27">
        <v>45292.0</v>
      </c>
      <c r="F140" s="4" t="s">
        <v>359</v>
      </c>
      <c r="G140" s="7" t="s">
        <v>360</v>
      </c>
      <c r="H140" s="16"/>
      <c r="I140" s="4"/>
      <c r="J140" s="4" t="b">
        <v>0</v>
      </c>
      <c r="K140" s="4" t="b">
        <v>0</v>
      </c>
      <c r="L140" s="1"/>
      <c r="M140" s="6"/>
      <c r="N140" s="1" t="s">
        <v>361</v>
      </c>
      <c r="O140" s="1"/>
      <c r="P140" s="1"/>
      <c r="Q140" s="1"/>
      <c r="R140" s="1"/>
      <c r="S140" s="1"/>
      <c r="T140" s="1"/>
      <c r="U140" s="1"/>
      <c r="V140" s="1"/>
      <c r="W140" s="1"/>
      <c r="X140" s="1"/>
      <c r="Y140" s="1"/>
      <c r="Z140" s="1"/>
      <c r="AA140" s="1"/>
      <c r="AB140" s="1"/>
    </row>
    <row r="141" hidden="1" outlineLevel="1">
      <c r="A141" s="1"/>
      <c r="B141" s="1"/>
      <c r="C141" s="1"/>
      <c r="D141" s="1"/>
      <c r="E141" s="27">
        <v>45301.0</v>
      </c>
      <c r="F141" s="1" t="s">
        <v>362</v>
      </c>
      <c r="G141" s="7" t="s">
        <v>363</v>
      </c>
      <c r="H141" s="16"/>
      <c r="I141" s="4"/>
      <c r="J141" s="4" t="b">
        <v>0</v>
      </c>
      <c r="K141" s="4" t="b">
        <v>0</v>
      </c>
      <c r="L141" s="1"/>
      <c r="M141" s="6"/>
      <c r="N141" s="1" t="s">
        <v>364</v>
      </c>
      <c r="O141" s="1"/>
      <c r="P141" s="1"/>
      <c r="Q141" s="1"/>
      <c r="R141" s="1"/>
      <c r="S141" s="1"/>
      <c r="T141" s="1"/>
      <c r="U141" s="1"/>
      <c r="V141" s="1"/>
      <c r="W141" s="1"/>
      <c r="X141" s="1"/>
      <c r="Y141" s="1"/>
      <c r="Z141" s="1"/>
      <c r="AA141" s="1"/>
      <c r="AB141" s="1"/>
    </row>
    <row r="142" hidden="1" outlineLevel="1">
      <c r="A142" s="1"/>
      <c r="B142" s="1"/>
      <c r="C142" s="1"/>
      <c r="D142" s="1"/>
      <c r="E142" s="27">
        <v>45301.0</v>
      </c>
      <c r="F142" s="1" t="s">
        <v>365</v>
      </c>
      <c r="G142" s="7" t="s">
        <v>366</v>
      </c>
      <c r="H142" s="16"/>
      <c r="I142" s="4"/>
      <c r="J142" s="4" t="b">
        <v>0</v>
      </c>
      <c r="K142" s="4" t="b">
        <v>0</v>
      </c>
      <c r="L142" s="1"/>
      <c r="M142" s="6"/>
      <c r="N142" s="1" t="s">
        <v>367</v>
      </c>
      <c r="O142" s="1"/>
      <c r="P142" s="1"/>
      <c r="Q142" s="1"/>
      <c r="R142" s="1"/>
      <c r="S142" s="1"/>
      <c r="T142" s="1"/>
      <c r="U142" s="1"/>
      <c r="V142" s="1"/>
      <c r="W142" s="1"/>
      <c r="X142" s="1"/>
      <c r="Y142" s="1"/>
      <c r="Z142" s="1"/>
      <c r="AA142" s="1"/>
      <c r="AB142" s="1"/>
    </row>
    <row r="143" hidden="1" outlineLevel="1">
      <c r="A143" s="1"/>
      <c r="B143" s="1"/>
      <c r="C143" s="1"/>
      <c r="D143" s="1"/>
      <c r="E143" s="27">
        <v>45307.0</v>
      </c>
      <c r="F143" s="1" t="s">
        <v>368</v>
      </c>
      <c r="G143" s="7" t="s">
        <v>369</v>
      </c>
      <c r="H143" s="16"/>
      <c r="I143" s="4"/>
      <c r="J143" s="4" t="b">
        <v>0</v>
      </c>
      <c r="K143" s="4" t="b">
        <v>0</v>
      </c>
      <c r="L143" s="1"/>
      <c r="M143" s="6"/>
      <c r="N143" s="1" t="s">
        <v>370</v>
      </c>
      <c r="O143" s="1"/>
      <c r="P143" s="1"/>
      <c r="Q143" s="1"/>
      <c r="R143" s="1"/>
      <c r="S143" s="1"/>
      <c r="T143" s="1"/>
      <c r="U143" s="1"/>
      <c r="V143" s="1"/>
      <c r="W143" s="1"/>
      <c r="X143" s="1"/>
      <c r="Y143" s="1"/>
      <c r="Z143" s="1"/>
      <c r="AA143" s="1"/>
      <c r="AB143" s="1"/>
    </row>
    <row r="144" hidden="1" outlineLevel="1">
      <c r="A144" s="1"/>
      <c r="B144" s="1"/>
      <c r="C144" s="1"/>
      <c r="D144" s="1"/>
      <c r="E144" s="27">
        <v>45310.0</v>
      </c>
      <c r="F144" s="1" t="s">
        <v>371</v>
      </c>
      <c r="G144" s="7" t="s">
        <v>372</v>
      </c>
      <c r="H144" s="16"/>
      <c r="I144" s="4"/>
      <c r="J144" s="4" t="b">
        <v>0</v>
      </c>
      <c r="K144" s="4" t="b">
        <v>0</v>
      </c>
      <c r="L144" s="1"/>
      <c r="M144" s="6"/>
      <c r="N144" s="1" t="s">
        <v>373</v>
      </c>
      <c r="O144" s="1"/>
      <c r="P144" s="1"/>
      <c r="Q144" s="1"/>
      <c r="R144" s="1"/>
      <c r="S144" s="1"/>
      <c r="T144" s="1"/>
      <c r="U144" s="1"/>
      <c r="V144" s="1"/>
      <c r="W144" s="1"/>
      <c r="X144" s="1"/>
      <c r="Y144" s="1"/>
      <c r="Z144" s="1"/>
      <c r="AA144" s="1"/>
      <c r="AB144" s="1"/>
    </row>
    <row r="145" hidden="1" outlineLevel="1">
      <c r="A145" s="1"/>
      <c r="B145" s="1"/>
      <c r="C145" s="1"/>
      <c r="D145" s="1"/>
      <c r="E145" s="27">
        <v>45311.0</v>
      </c>
      <c r="F145" s="1" t="s">
        <v>374</v>
      </c>
      <c r="G145" s="7" t="s">
        <v>375</v>
      </c>
      <c r="H145" s="16"/>
      <c r="I145" s="4"/>
      <c r="J145" s="4" t="b">
        <v>0</v>
      </c>
      <c r="K145" s="4" t="b">
        <v>0</v>
      </c>
      <c r="L145" s="1"/>
      <c r="M145" s="6"/>
      <c r="N145" s="1" t="s">
        <v>376</v>
      </c>
      <c r="O145" s="1"/>
      <c r="P145" s="1"/>
      <c r="Q145" s="1"/>
      <c r="R145" s="1"/>
      <c r="S145" s="1"/>
      <c r="T145" s="1"/>
      <c r="U145" s="1"/>
      <c r="V145" s="1"/>
      <c r="W145" s="1"/>
      <c r="X145" s="1"/>
      <c r="Y145" s="1"/>
      <c r="Z145" s="1"/>
      <c r="AA145" s="1"/>
      <c r="AB145" s="1"/>
    </row>
    <row r="146" hidden="1" outlineLevel="1">
      <c r="A146" s="1"/>
      <c r="B146" s="1"/>
      <c r="C146" s="1"/>
      <c r="D146" s="1"/>
      <c r="E146" s="27"/>
      <c r="F146" s="1" t="s">
        <v>377</v>
      </c>
      <c r="G146" s="7" t="s">
        <v>378</v>
      </c>
      <c r="H146" s="16"/>
      <c r="I146" s="4"/>
      <c r="J146" s="4" t="b">
        <v>0</v>
      </c>
      <c r="K146" s="4" t="b">
        <v>0</v>
      </c>
      <c r="L146" s="1"/>
      <c r="M146" s="6"/>
      <c r="N146" s="1" t="s">
        <v>379</v>
      </c>
      <c r="O146" s="1"/>
      <c r="P146" s="1"/>
      <c r="Q146" s="1"/>
      <c r="R146" s="1"/>
      <c r="S146" s="1"/>
      <c r="T146" s="1"/>
      <c r="U146" s="1"/>
      <c r="V146" s="1"/>
      <c r="W146" s="1"/>
      <c r="X146" s="1"/>
      <c r="Y146" s="1"/>
      <c r="Z146" s="1"/>
      <c r="AA146" s="1"/>
      <c r="AB146" s="1"/>
    </row>
    <row r="147" hidden="1" outlineLevel="1">
      <c r="A147" s="1"/>
      <c r="B147" s="1"/>
      <c r="C147" s="1"/>
      <c r="D147" s="1"/>
      <c r="E147" s="27">
        <v>45320.0</v>
      </c>
      <c r="F147" s="1" t="s">
        <v>380</v>
      </c>
      <c r="G147" s="7" t="s">
        <v>381</v>
      </c>
      <c r="H147" s="16"/>
      <c r="I147" s="4"/>
      <c r="J147" s="4" t="b">
        <v>0</v>
      </c>
      <c r="K147" s="4" t="b">
        <v>0</v>
      </c>
      <c r="L147" s="1"/>
      <c r="M147" s="6"/>
      <c r="N147" s="1" t="s">
        <v>382</v>
      </c>
      <c r="O147" s="1"/>
      <c r="P147" s="1"/>
      <c r="Q147" s="1"/>
      <c r="R147" s="1"/>
      <c r="S147" s="1"/>
      <c r="T147" s="1"/>
      <c r="U147" s="1"/>
      <c r="V147" s="1"/>
      <c r="W147" s="1"/>
      <c r="X147" s="1"/>
      <c r="Y147" s="1"/>
      <c r="Z147" s="1"/>
      <c r="AA147" s="1"/>
      <c r="AB147" s="1"/>
    </row>
    <row r="148" hidden="1" outlineLevel="1">
      <c r="A148" s="1"/>
      <c r="B148" s="1"/>
      <c r="C148" s="1"/>
      <c r="D148" s="1"/>
      <c r="E148" s="27">
        <v>45320.0</v>
      </c>
      <c r="F148" s="1" t="s">
        <v>383</v>
      </c>
      <c r="G148" s="7" t="s">
        <v>384</v>
      </c>
      <c r="H148" s="16"/>
      <c r="I148" s="4"/>
      <c r="J148" s="4" t="b">
        <v>0</v>
      </c>
      <c r="K148" s="4" t="b">
        <v>0</v>
      </c>
      <c r="L148" s="1"/>
      <c r="M148" s="6"/>
      <c r="N148" s="7" t="s">
        <v>385</v>
      </c>
      <c r="O148" s="5"/>
      <c r="P148" s="5"/>
      <c r="Q148" s="5"/>
      <c r="R148" s="5"/>
      <c r="S148" s="5"/>
      <c r="T148" s="5"/>
      <c r="U148" s="5"/>
      <c r="V148" s="5"/>
      <c r="W148" s="5"/>
      <c r="X148" s="5"/>
      <c r="Y148" s="5"/>
      <c r="Z148" s="5"/>
      <c r="AA148" s="5"/>
      <c r="AB148" s="5"/>
    </row>
    <row r="149" hidden="1" outlineLevel="1">
      <c r="A149" s="1"/>
      <c r="B149" s="1"/>
      <c r="C149" s="1"/>
      <c r="D149" s="1"/>
      <c r="E149" s="27">
        <v>45322.0</v>
      </c>
      <c r="F149" s="1" t="s">
        <v>386</v>
      </c>
      <c r="G149" s="7" t="s">
        <v>387</v>
      </c>
      <c r="H149" s="9" t="s">
        <v>388</v>
      </c>
      <c r="I149" s="4"/>
      <c r="J149" s="4" t="b">
        <v>0</v>
      </c>
      <c r="K149" s="4" t="b">
        <v>0</v>
      </c>
      <c r="L149" s="1"/>
      <c r="M149" s="6"/>
      <c r="N149" s="1" t="s">
        <v>389</v>
      </c>
      <c r="O149" s="1"/>
      <c r="P149" s="1"/>
      <c r="Q149" s="1"/>
      <c r="R149" s="1"/>
      <c r="S149" s="1"/>
      <c r="T149" s="1"/>
      <c r="U149" s="1"/>
      <c r="V149" s="1"/>
      <c r="W149" s="1"/>
      <c r="X149" s="1"/>
      <c r="Y149" s="1"/>
      <c r="Z149" s="1"/>
      <c r="AA149" s="1"/>
      <c r="AB149" s="1"/>
    </row>
    <row r="150" collapsed="1">
      <c r="A150" s="1"/>
      <c r="B150" s="1"/>
      <c r="C150" s="1"/>
      <c r="D150" s="1"/>
      <c r="E150" s="28" t="s">
        <v>390</v>
      </c>
      <c r="F150" s="1"/>
      <c r="G150" s="5"/>
      <c r="H150" s="16"/>
      <c r="I150" s="4"/>
      <c r="J150" s="4" t="b">
        <v>0</v>
      </c>
      <c r="K150" s="4" t="b">
        <v>0</v>
      </c>
      <c r="L150" s="1"/>
      <c r="M150" s="6"/>
      <c r="N150" s="6"/>
      <c r="O150" s="6"/>
      <c r="P150" s="6"/>
      <c r="Q150" s="6"/>
      <c r="R150" s="6"/>
      <c r="S150" s="6"/>
      <c r="T150" s="6"/>
      <c r="U150" s="6"/>
      <c r="V150" s="6"/>
      <c r="W150" s="6"/>
      <c r="X150" s="6"/>
      <c r="Y150" s="6"/>
      <c r="Z150" s="6"/>
      <c r="AA150" s="6"/>
      <c r="AB150" s="6"/>
    </row>
    <row r="151" hidden="1" outlineLevel="1">
      <c r="A151" s="1"/>
      <c r="B151" s="1"/>
      <c r="C151" s="1"/>
      <c r="D151" s="1"/>
      <c r="E151" s="27">
        <v>45342.0</v>
      </c>
      <c r="F151" s="1" t="s">
        <v>391</v>
      </c>
      <c r="G151" s="7" t="s">
        <v>392</v>
      </c>
      <c r="H151" s="9" t="s">
        <v>393</v>
      </c>
      <c r="I151" s="4"/>
      <c r="J151" s="4" t="b">
        <v>0</v>
      </c>
      <c r="K151" s="4" t="b">
        <v>0</v>
      </c>
      <c r="L151" s="1"/>
      <c r="M151" s="6"/>
      <c r="N151" s="6"/>
      <c r="O151" s="6"/>
      <c r="P151" s="6"/>
      <c r="Q151" s="6"/>
      <c r="R151" s="6"/>
      <c r="S151" s="6"/>
      <c r="T151" s="6"/>
      <c r="U151" s="6"/>
      <c r="V151" s="6"/>
      <c r="W151" s="6"/>
      <c r="X151" s="6"/>
      <c r="Y151" s="6"/>
      <c r="Z151" s="6"/>
      <c r="AA151" s="6"/>
      <c r="AB151" s="6"/>
    </row>
    <row r="152" hidden="1" outlineLevel="1">
      <c r="A152" s="1"/>
      <c r="B152" s="1"/>
      <c r="C152" s="1"/>
      <c r="D152" s="1"/>
      <c r="E152" s="27">
        <v>45323.0</v>
      </c>
      <c r="F152" s="1" t="s">
        <v>394</v>
      </c>
      <c r="G152" s="10" t="s">
        <v>395</v>
      </c>
      <c r="H152" s="16"/>
      <c r="I152" s="4"/>
      <c r="J152" s="4" t="b">
        <v>0</v>
      </c>
      <c r="K152" s="4" t="b">
        <v>0</v>
      </c>
      <c r="L152" s="1" t="s">
        <v>396</v>
      </c>
      <c r="M152" s="6"/>
      <c r="N152" s="6"/>
      <c r="O152" s="6"/>
      <c r="P152" s="6"/>
      <c r="Q152" s="6"/>
      <c r="R152" s="6"/>
      <c r="S152" s="6"/>
      <c r="T152" s="6"/>
      <c r="U152" s="6"/>
      <c r="V152" s="6"/>
      <c r="W152" s="6"/>
      <c r="X152" s="6"/>
      <c r="Y152" s="6"/>
      <c r="Z152" s="6"/>
      <c r="AA152" s="6"/>
      <c r="AB152" s="6"/>
    </row>
    <row r="153" hidden="1" outlineLevel="1">
      <c r="A153" s="1"/>
      <c r="B153" s="1"/>
      <c r="C153" s="1"/>
      <c r="D153" s="1"/>
      <c r="E153" s="26">
        <v>45324.0</v>
      </c>
      <c r="F153" s="1" t="s">
        <v>397</v>
      </c>
      <c r="G153" s="7" t="s">
        <v>398</v>
      </c>
      <c r="H153" s="16"/>
      <c r="I153" s="4"/>
      <c r="J153" s="4" t="b">
        <v>0</v>
      </c>
      <c r="K153" s="4" t="b">
        <v>0</v>
      </c>
      <c r="L153" s="1" t="s">
        <v>399</v>
      </c>
      <c r="M153" s="6"/>
      <c r="N153" s="6"/>
      <c r="O153" s="6"/>
      <c r="P153" s="6"/>
      <c r="Q153" s="6"/>
      <c r="R153" s="6"/>
      <c r="S153" s="6"/>
      <c r="T153" s="6"/>
      <c r="U153" s="6"/>
      <c r="V153" s="6"/>
      <c r="W153" s="6"/>
      <c r="X153" s="6"/>
      <c r="Y153" s="6"/>
      <c r="Z153" s="6"/>
      <c r="AA153" s="6"/>
      <c r="AB153" s="6"/>
    </row>
    <row r="154" hidden="1" outlineLevel="1">
      <c r="A154" s="1"/>
      <c r="B154" s="1"/>
      <c r="C154" s="1"/>
      <c r="D154" s="1"/>
      <c r="E154" s="27">
        <v>45326.0</v>
      </c>
      <c r="F154" s="1" t="s">
        <v>400</v>
      </c>
      <c r="G154" s="7" t="s">
        <v>401</v>
      </c>
      <c r="H154" s="16"/>
      <c r="I154" s="4"/>
      <c r="J154" s="4" t="b">
        <v>0</v>
      </c>
      <c r="K154" s="4" t="b">
        <v>0</v>
      </c>
      <c r="L154" s="1"/>
      <c r="M154" s="6"/>
      <c r="N154" s="6"/>
      <c r="O154" s="6"/>
      <c r="P154" s="6"/>
      <c r="Q154" s="6"/>
      <c r="R154" s="6"/>
      <c r="S154" s="6"/>
      <c r="T154" s="6"/>
      <c r="U154" s="6"/>
      <c r="V154" s="6"/>
      <c r="W154" s="6"/>
      <c r="X154" s="6"/>
      <c r="Y154" s="6"/>
      <c r="Z154" s="6"/>
      <c r="AA154" s="6"/>
      <c r="AB154" s="6"/>
    </row>
    <row r="155" hidden="1" outlineLevel="1">
      <c r="A155" s="1"/>
      <c r="B155" s="1"/>
      <c r="C155" s="1"/>
      <c r="D155" s="1"/>
      <c r="E155" s="27">
        <v>45336.0</v>
      </c>
      <c r="F155" s="1" t="s">
        <v>402</v>
      </c>
      <c r="G155" s="7" t="s">
        <v>403</v>
      </c>
      <c r="H155" s="9" t="s">
        <v>404</v>
      </c>
      <c r="I155" s="4"/>
      <c r="J155" s="4" t="b">
        <v>0</v>
      </c>
      <c r="K155" s="4" t="b">
        <v>0</v>
      </c>
      <c r="L155" s="1" t="s">
        <v>399</v>
      </c>
      <c r="M155" s="6"/>
      <c r="N155" s="1" t="s">
        <v>405</v>
      </c>
      <c r="O155" s="1"/>
      <c r="P155" s="1"/>
      <c r="Q155" s="1"/>
      <c r="R155" s="1"/>
      <c r="S155" s="1"/>
      <c r="T155" s="1"/>
      <c r="U155" s="1"/>
      <c r="V155" s="1"/>
      <c r="W155" s="1"/>
      <c r="X155" s="1"/>
      <c r="Y155" s="1"/>
      <c r="Z155" s="1"/>
      <c r="AA155" s="1"/>
      <c r="AB155" s="1"/>
    </row>
    <row r="156" hidden="1" outlineLevel="1">
      <c r="A156" s="1"/>
      <c r="B156" s="1"/>
      <c r="C156" s="1"/>
      <c r="D156" s="1"/>
      <c r="E156" s="27">
        <v>45336.0</v>
      </c>
      <c r="F156" s="1" t="s">
        <v>406</v>
      </c>
      <c r="G156" s="7" t="s">
        <v>407</v>
      </c>
      <c r="H156" s="16"/>
      <c r="I156" s="4"/>
      <c r="J156" s="4" t="b">
        <v>0</v>
      </c>
      <c r="K156" s="4" t="b">
        <v>0</v>
      </c>
      <c r="L156" s="1"/>
      <c r="M156" s="6"/>
      <c r="N156" s="1" t="s">
        <v>408</v>
      </c>
      <c r="O156" s="1"/>
      <c r="P156" s="1"/>
      <c r="Q156" s="1"/>
      <c r="R156" s="1"/>
      <c r="S156" s="1"/>
      <c r="T156" s="1"/>
      <c r="U156" s="1"/>
      <c r="V156" s="1"/>
      <c r="W156" s="1"/>
      <c r="X156" s="1"/>
      <c r="Y156" s="1"/>
      <c r="Z156" s="1"/>
      <c r="AA156" s="1"/>
      <c r="AB156" s="1"/>
    </row>
    <row r="157" hidden="1" outlineLevel="1">
      <c r="A157" s="1"/>
      <c r="B157" s="1"/>
      <c r="C157" s="1"/>
      <c r="D157" s="1"/>
      <c r="E157" s="27">
        <v>45338.0</v>
      </c>
      <c r="F157" s="1" t="s">
        <v>409</v>
      </c>
      <c r="G157" s="7" t="s">
        <v>410</v>
      </c>
      <c r="H157" s="9" t="s">
        <v>411</v>
      </c>
      <c r="I157" s="4"/>
      <c r="J157" s="4" t="b">
        <v>0</v>
      </c>
      <c r="K157" s="4" t="b">
        <v>0</v>
      </c>
      <c r="L157" s="1" t="s">
        <v>412</v>
      </c>
      <c r="M157" s="6"/>
      <c r="N157" s="1" t="s">
        <v>413</v>
      </c>
      <c r="O157" s="1"/>
      <c r="P157" s="1"/>
      <c r="Q157" s="1"/>
      <c r="R157" s="1"/>
      <c r="S157" s="1"/>
      <c r="T157" s="1"/>
      <c r="U157" s="1"/>
      <c r="V157" s="1"/>
      <c r="W157" s="1"/>
      <c r="X157" s="1"/>
      <c r="Y157" s="1"/>
      <c r="Z157" s="1"/>
      <c r="AA157" s="1"/>
      <c r="AB157" s="1"/>
    </row>
    <row r="158" hidden="1" outlineLevel="1">
      <c r="A158" s="1"/>
      <c r="B158" s="1"/>
      <c r="C158" s="1"/>
      <c r="D158" s="1"/>
      <c r="E158" s="27">
        <v>45340.0</v>
      </c>
      <c r="F158" s="1" t="s">
        <v>414</v>
      </c>
      <c r="G158" s="7" t="s">
        <v>415</v>
      </c>
      <c r="H158" s="16"/>
      <c r="I158" s="4"/>
      <c r="J158" s="4" t="b">
        <v>0</v>
      </c>
      <c r="K158" s="4" t="b">
        <v>0</v>
      </c>
      <c r="L158" s="1"/>
      <c r="M158" s="6"/>
      <c r="N158" s="1" t="s">
        <v>416</v>
      </c>
      <c r="O158" s="1"/>
      <c r="P158" s="1"/>
      <c r="Q158" s="1"/>
      <c r="R158" s="1"/>
      <c r="S158" s="1"/>
      <c r="T158" s="1"/>
      <c r="U158" s="1"/>
      <c r="V158" s="1"/>
      <c r="W158" s="1"/>
      <c r="X158" s="1"/>
      <c r="Y158" s="1"/>
      <c r="Z158" s="1"/>
      <c r="AA158" s="1"/>
      <c r="AB158" s="1"/>
    </row>
    <row r="159" hidden="1" outlineLevel="1">
      <c r="A159" s="1"/>
      <c r="B159" s="1"/>
      <c r="C159" s="1"/>
      <c r="D159" s="1"/>
      <c r="E159" s="27">
        <v>45341.0</v>
      </c>
      <c r="F159" s="1" t="s">
        <v>417</v>
      </c>
      <c r="G159" s="7" t="s">
        <v>418</v>
      </c>
      <c r="H159" s="9" t="s">
        <v>419</v>
      </c>
      <c r="I159" s="4"/>
      <c r="J159" s="4" t="b">
        <v>0</v>
      </c>
      <c r="K159" s="4" t="b">
        <v>0</v>
      </c>
      <c r="L159" s="1"/>
      <c r="M159" s="6"/>
      <c r="N159" s="1" t="s">
        <v>420</v>
      </c>
      <c r="O159" s="1"/>
      <c r="P159" s="1"/>
      <c r="Q159" s="1"/>
      <c r="R159" s="1"/>
      <c r="S159" s="1"/>
      <c r="T159" s="1"/>
      <c r="U159" s="1"/>
      <c r="V159" s="1"/>
      <c r="W159" s="1"/>
      <c r="X159" s="1"/>
      <c r="Y159" s="1"/>
      <c r="Z159" s="1"/>
      <c r="AA159" s="1"/>
      <c r="AB159" s="1"/>
    </row>
    <row r="160" hidden="1" outlineLevel="1">
      <c r="A160" s="1"/>
      <c r="B160" s="1"/>
      <c r="C160" s="1"/>
      <c r="D160" s="1"/>
      <c r="E160" s="27">
        <v>45341.0</v>
      </c>
      <c r="F160" s="1" t="s">
        <v>421</v>
      </c>
      <c r="G160" s="7" t="s">
        <v>422</v>
      </c>
      <c r="H160" s="16"/>
      <c r="I160" s="4"/>
      <c r="J160" s="4" t="b">
        <v>0</v>
      </c>
      <c r="K160" s="4" t="b">
        <v>0</v>
      </c>
      <c r="L160" s="1" t="s">
        <v>423</v>
      </c>
      <c r="M160" s="6"/>
      <c r="N160" s="6"/>
      <c r="O160" s="6"/>
      <c r="P160" s="6"/>
      <c r="Q160" s="6"/>
      <c r="R160" s="6"/>
      <c r="S160" s="6"/>
      <c r="T160" s="6"/>
      <c r="U160" s="6"/>
      <c r="V160" s="6"/>
      <c r="W160" s="6"/>
      <c r="X160" s="6"/>
      <c r="Y160" s="6"/>
      <c r="Z160" s="6"/>
      <c r="AA160" s="6"/>
      <c r="AB160" s="6"/>
    </row>
    <row r="161" hidden="1" outlineLevel="1">
      <c r="A161" s="1"/>
      <c r="B161" s="1"/>
      <c r="C161" s="1"/>
      <c r="D161" s="1"/>
      <c r="E161" s="27">
        <v>45343.0</v>
      </c>
      <c r="F161" s="1" t="s">
        <v>424</v>
      </c>
      <c r="G161" s="10" t="s">
        <v>425</v>
      </c>
      <c r="H161" s="9" t="s">
        <v>426</v>
      </c>
      <c r="I161" s="4"/>
      <c r="J161" s="4" t="b">
        <v>0</v>
      </c>
      <c r="K161" s="4" t="b">
        <v>0</v>
      </c>
      <c r="L161" s="1"/>
      <c r="M161" s="6"/>
      <c r="N161" s="1"/>
      <c r="O161" s="1"/>
      <c r="P161" s="1"/>
      <c r="Q161" s="1"/>
      <c r="R161" s="1"/>
      <c r="S161" s="1"/>
      <c r="T161" s="1"/>
      <c r="U161" s="1"/>
      <c r="V161" s="1"/>
      <c r="W161" s="1"/>
      <c r="X161" s="1"/>
      <c r="Y161" s="1"/>
      <c r="Z161" s="1"/>
      <c r="AA161" s="1"/>
      <c r="AB161" s="1"/>
    </row>
    <row r="162" hidden="1" outlineLevel="1">
      <c r="A162" s="1"/>
      <c r="B162" s="1"/>
      <c r="C162" s="1"/>
      <c r="D162" s="1"/>
      <c r="E162" s="27">
        <v>45344.0</v>
      </c>
      <c r="F162" s="1" t="s">
        <v>427</v>
      </c>
      <c r="G162" s="7" t="s">
        <v>428</v>
      </c>
      <c r="H162" s="16"/>
      <c r="I162" s="4"/>
      <c r="J162" s="4" t="b">
        <v>0</v>
      </c>
      <c r="K162" s="4" t="b">
        <v>0</v>
      </c>
      <c r="L162" s="1"/>
      <c r="M162" s="6"/>
      <c r="N162" s="1" t="s">
        <v>429</v>
      </c>
      <c r="O162" s="1"/>
      <c r="P162" s="1"/>
      <c r="Q162" s="1"/>
      <c r="R162" s="1"/>
      <c r="S162" s="1"/>
      <c r="T162" s="1"/>
      <c r="U162" s="1"/>
      <c r="V162" s="1"/>
      <c r="W162" s="1"/>
      <c r="X162" s="1"/>
      <c r="Y162" s="1"/>
      <c r="Z162" s="1"/>
      <c r="AA162" s="1"/>
      <c r="AB162" s="1"/>
    </row>
    <row r="163" hidden="1" outlineLevel="1">
      <c r="A163" s="1"/>
      <c r="B163" s="1"/>
      <c r="C163" s="1"/>
      <c r="D163" s="1"/>
      <c r="E163" s="27">
        <v>45332.0</v>
      </c>
      <c r="F163" s="1" t="s">
        <v>430</v>
      </c>
      <c r="G163" s="10" t="s">
        <v>431</v>
      </c>
      <c r="H163" s="16"/>
      <c r="I163" s="4"/>
      <c r="J163" s="4" t="b">
        <v>0</v>
      </c>
      <c r="K163" s="4" t="b">
        <v>0</v>
      </c>
      <c r="L163" s="1"/>
      <c r="M163" s="6"/>
      <c r="N163" s="6"/>
      <c r="O163" s="6"/>
      <c r="P163" s="6"/>
      <c r="Q163" s="6"/>
      <c r="R163" s="6"/>
      <c r="S163" s="6"/>
      <c r="T163" s="6"/>
      <c r="U163" s="6"/>
      <c r="V163" s="6"/>
      <c r="W163" s="6"/>
      <c r="X163" s="6"/>
      <c r="Y163" s="6"/>
      <c r="Z163" s="6"/>
      <c r="AA163" s="6"/>
      <c r="AB163" s="6"/>
    </row>
    <row r="164" hidden="1" outlineLevel="1">
      <c r="A164" s="1"/>
      <c r="B164" s="1"/>
      <c r="C164" s="1"/>
      <c r="D164" s="1"/>
      <c r="E164" s="27">
        <v>45344.0</v>
      </c>
      <c r="F164" s="1" t="s">
        <v>432</v>
      </c>
      <c r="G164" s="7" t="s">
        <v>433</v>
      </c>
      <c r="H164" s="16"/>
      <c r="I164" s="4"/>
      <c r="J164" s="4" t="b">
        <v>0</v>
      </c>
      <c r="K164" s="4" t="b">
        <v>0</v>
      </c>
      <c r="L164" s="1"/>
      <c r="M164" s="6"/>
      <c r="N164" s="6"/>
      <c r="O164" s="6"/>
      <c r="P164" s="6"/>
      <c r="Q164" s="6"/>
      <c r="R164" s="6"/>
      <c r="S164" s="6"/>
      <c r="T164" s="6"/>
      <c r="U164" s="6"/>
      <c r="V164" s="6"/>
      <c r="W164" s="6"/>
      <c r="X164" s="6"/>
      <c r="Y164" s="6"/>
      <c r="Z164" s="6"/>
      <c r="AA164" s="6"/>
      <c r="AB164" s="6"/>
    </row>
    <row r="165" hidden="1" outlineLevel="1">
      <c r="A165" s="1"/>
      <c r="B165" s="1"/>
      <c r="C165" s="1"/>
      <c r="D165" s="1"/>
      <c r="E165" s="27">
        <v>45344.0</v>
      </c>
      <c r="F165" s="4" t="s">
        <v>434</v>
      </c>
      <c r="G165" s="10" t="s">
        <v>435</v>
      </c>
      <c r="H165" s="16"/>
      <c r="I165" s="4"/>
      <c r="J165" s="4" t="b">
        <v>0</v>
      </c>
      <c r="K165" s="4" t="b">
        <v>0</v>
      </c>
      <c r="L165" s="1"/>
      <c r="M165" s="6"/>
      <c r="N165" s="6"/>
      <c r="O165" s="6"/>
      <c r="P165" s="6"/>
      <c r="Q165" s="6"/>
      <c r="R165" s="6"/>
      <c r="S165" s="6"/>
      <c r="T165" s="6"/>
      <c r="U165" s="6"/>
      <c r="V165" s="6"/>
      <c r="W165" s="6"/>
      <c r="X165" s="6"/>
      <c r="Y165" s="6"/>
      <c r="Z165" s="6"/>
      <c r="AA165" s="6"/>
      <c r="AB165" s="6"/>
    </row>
    <row r="166" hidden="1" outlineLevel="1">
      <c r="A166" s="1"/>
      <c r="B166" s="1"/>
      <c r="C166" s="1"/>
      <c r="D166" s="1"/>
      <c r="E166" s="27">
        <v>45344.0</v>
      </c>
      <c r="F166" s="1" t="s">
        <v>436</v>
      </c>
      <c r="G166" s="7" t="s">
        <v>437</v>
      </c>
      <c r="H166" s="16"/>
      <c r="I166" s="4"/>
      <c r="J166" s="4" t="b">
        <v>0</v>
      </c>
      <c r="K166" s="4" t="b">
        <v>0</v>
      </c>
      <c r="L166" s="1"/>
      <c r="M166" s="6"/>
      <c r="N166" s="6"/>
      <c r="O166" s="6"/>
      <c r="P166" s="6"/>
      <c r="Q166" s="6"/>
      <c r="R166" s="6"/>
      <c r="S166" s="6"/>
      <c r="T166" s="6"/>
      <c r="U166" s="6"/>
      <c r="V166" s="6"/>
      <c r="W166" s="6"/>
      <c r="X166" s="6"/>
      <c r="Y166" s="6"/>
      <c r="Z166" s="6"/>
      <c r="AA166" s="6"/>
      <c r="AB166" s="6"/>
    </row>
    <row r="167" hidden="1" outlineLevel="1">
      <c r="A167" s="1"/>
      <c r="B167" s="1"/>
      <c r="C167" s="1"/>
      <c r="D167" s="1"/>
      <c r="E167" s="27">
        <v>45345.0</v>
      </c>
      <c r="F167" s="1" t="s">
        <v>438</v>
      </c>
      <c r="G167" s="7" t="s">
        <v>439</v>
      </c>
      <c r="H167" s="8" t="s">
        <v>440</v>
      </c>
      <c r="I167" s="4"/>
      <c r="J167" s="4" t="b">
        <v>0</v>
      </c>
      <c r="K167" s="4" t="b">
        <v>0</v>
      </c>
      <c r="L167" s="1"/>
      <c r="M167" s="6"/>
      <c r="N167" s="1" t="s">
        <v>441</v>
      </c>
      <c r="O167" s="1"/>
      <c r="P167" s="1"/>
      <c r="Q167" s="1"/>
      <c r="R167" s="1"/>
      <c r="S167" s="1"/>
      <c r="T167" s="1"/>
      <c r="U167" s="1"/>
      <c r="V167" s="1"/>
      <c r="W167" s="1"/>
      <c r="X167" s="1"/>
      <c r="Y167" s="1"/>
      <c r="Z167" s="1"/>
      <c r="AA167" s="1"/>
      <c r="AB167" s="1"/>
    </row>
    <row r="168" hidden="1" outlineLevel="1">
      <c r="A168" s="1"/>
      <c r="B168" s="1"/>
      <c r="C168" s="1"/>
      <c r="D168" s="1"/>
      <c r="E168" s="27">
        <v>45336.0</v>
      </c>
      <c r="F168" s="1" t="s">
        <v>442</v>
      </c>
      <c r="G168" s="7" t="s">
        <v>443</v>
      </c>
      <c r="H168" s="16"/>
      <c r="I168" s="4"/>
      <c r="J168" s="4" t="b">
        <v>0</v>
      </c>
      <c r="K168" s="4" t="b">
        <v>0</v>
      </c>
      <c r="L168" s="1"/>
      <c r="M168" s="6"/>
      <c r="N168" s="6"/>
      <c r="O168" s="6"/>
      <c r="P168" s="6"/>
      <c r="Q168" s="6"/>
      <c r="R168" s="6"/>
      <c r="S168" s="6"/>
      <c r="T168" s="6"/>
      <c r="U168" s="6"/>
      <c r="V168" s="6"/>
      <c r="W168" s="6"/>
      <c r="X168" s="6"/>
      <c r="Y168" s="6"/>
      <c r="Z168" s="6"/>
      <c r="AA168" s="6"/>
      <c r="AB168" s="6"/>
    </row>
    <row r="169" hidden="1" outlineLevel="1">
      <c r="A169" s="1"/>
      <c r="B169" s="1"/>
      <c r="C169" s="1"/>
      <c r="D169" s="1"/>
      <c r="E169" s="27">
        <v>45347.0</v>
      </c>
      <c r="F169" s="1" t="s">
        <v>444</v>
      </c>
      <c r="G169" s="7" t="s">
        <v>445</v>
      </c>
      <c r="H169" s="16"/>
      <c r="I169" s="4"/>
      <c r="J169" s="4" t="b">
        <v>0</v>
      </c>
      <c r="K169" s="4" t="b">
        <v>0</v>
      </c>
      <c r="L169" s="1"/>
      <c r="M169" s="6"/>
      <c r="N169" s="6"/>
      <c r="O169" s="6"/>
      <c r="P169" s="6"/>
      <c r="Q169" s="6"/>
      <c r="R169" s="6"/>
      <c r="S169" s="6"/>
      <c r="T169" s="6"/>
      <c r="U169" s="6"/>
      <c r="V169" s="6"/>
      <c r="W169" s="6"/>
      <c r="X169" s="6"/>
      <c r="Y169" s="6"/>
      <c r="Z169" s="6"/>
      <c r="AA169" s="6"/>
      <c r="AB169" s="6"/>
    </row>
    <row r="170" hidden="1" outlineLevel="1">
      <c r="A170" s="1"/>
      <c r="B170" s="1"/>
      <c r="C170" s="1"/>
      <c r="D170" s="1"/>
      <c r="E170" s="27">
        <v>45348.0</v>
      </c>
      <c r="F170" s="1" t="s">
        <v>446</v>
      </c>
      <c r="G170" s="7" t="s">
        <v>447</v>
      </c>
      <c r="H170" s="16"/>
      <c r="I170" s="4"/>
      <c r="J170" s="4" t="b">
        <v>0</v>
      </c>
      <c r="K170" s="4" t="b">
        <v>0</v>
      </c>
      <c r="L170" s="1"/>
      <c r="M170" s="6"/>
      <c r="N170" s="6"/>
      <c r="O170" s="6"/>
      <c r="P170" s="6"/>
      <c r="Q170" s="6"/>
      <c r="R170" s="6"/>
      <c r="S170" s="6"/>
      <c r="T170" s="6"/>
      <c r="U170" s="6"/>
      <c r="V170" s="6"/>
      <c r="W170" s="6"/>
      <c r="X170" s="6"/>
      <c r="Y170" s="6"/>
      <c r="Z170" s="6"/>
      <c r="AA170" s="6"/>
      <c r="AB170" s="6"/>
    </row>
    <row r="171" hidden="1" outlineLevel="1">
      <c r="A171" s="1"/>
      <c r="B171" s="1"/>
      <c r="C171" s="1"/>
      <c r="D171" s="1"/>
      <c r="E171" s="27">
        <v>45348.0</v>
      </c>
      <c r="F171" s="1" t="s">
        <v>448</v>
      </c>
      <c r="G171" s="7" t="s">
        <v>449</v>
      </c>
      <c r="H171" s="16"/>
      <c r="I171" s="4"/>
      <c r="J171" s="4" t="b">
        <v>0</v>
      </c>
      <c r="K171" s="4" t="b">
        <v>0</v>
      </c>
      <c r="L171" s="1"/>
      <c r="M171" s="6"/>
      <c r="N171" s="6"/>
      <c r="O171" s="6"/>
      <c r="P171" s="6"/>
      <c r="Q171" s="6"/>
      <c r="R171" s="6"/>
      <c r="S171" s="6"/>
      <c r="T171" s="6"/>
      <c r="U171" s="6"/>
      <c r="V171" s="6"/>
      <c r="W171" s="6"/>
      <c r="X171" s="6"/>
      <c r="Y171" s="6"/>
      <c r="Z171" s="6"/>
      <c r="AA171" s="6"/>
      <c r="AB171" s="6"/>
    </row>
    <row r="172" hidden="1" outlineLevel="1">
      <c r="A172" s="1"/>
      <c r="B172" s="1"/>
      <c r="C172" s="1"/>
      <c r="D172" s="1"/>
      <c r="E172" s="27">
        <v>45349.0</v>
      </c>
      <c r="F172" s="1" t="s">
        <v>450</v>
      </c>
      <c r="G172" s="7" t="s">
        <v>451</v>
      </c>
      <c r="H172" s="16"/>
      <c r="I172" s="4"/>
      <c r="J172" s="4" t="b">
        <v>0</v>
      </c>
      <c r="K172" s="4" t="b">
        <v>0</v>
      </c>
      <c r="L172" s="1"/>
      <c r="M172" s="6"/>
      <c r="N172" s="6"/>
      <c r="O172" s="6"/>
      <c r="P172" s="6"/>
      <c r="Q172" s="6"/>
      <c r="R172" s="6"/>
      <c r="S172" s="6"/>
      <c r="T172" s="6"/>
      <c r="U172" s="6"/>
      <c r="V172" s="6"/>
      <c r="W172" s="6"/>
      <c r="X172" s="6"/>
      <c r="Y172" s="6"/>
      <c r="Z172" s="6"/>
      <c r="AA172" s="6"/>
      <c r="AB172" s="6"/>
    </row>
    <row r="173" hidden="1" outlineLevel="1">
      <c r="A173" s="1"/>
      <c r="B173" s="1"/>
      <c r="C173" s="1"/>
      <c r="D173" s="1"/>
      <c r="E173" s="27">
        <v>45350.0</v>
      </c>
      <c r="F173" s="1" t="s">
        <v>452</v>
      </c>
      <c r="G173" s="7" t="s">
        <v>453</v>
      </c>
      <c r="H173" s="16"/>
      <c r="I173" s="4"/>
      <c r="J173" s="4" t="b">
        <v>0</v>
      </c>
      <c r="K173" s="4" t="b">
        <v>0</v>
      </c>
      <c r="L173" s="1"/>
      <c r="M173" s="6"/>
      <c r="N173" s="6"/>
      <c r="O173" s="6"/>
      <c r="P173" s="6"/>
      <c r="Q173" s="6"/>
      <c r="R173" s="6"/>
      <c r="S173" s="6"/>
      <c r="T173" s="6"/>
      <c r="U173" s="6"/>
      <c r="V173" s="6"/>
      <c r="W173" s="6"/>
      <c r="X173" s="6"/>
      <c r="Y173" s="6"/>
      <c r="Z173" s="6"/>
      <c r="AA173" s="6"/>
      <c r="AB173" s="6"/>
    </row>
    <row r="174" hidden="1" outlineLevel="1">
      <c r="A174" s="1"/>
      <c r="B174" s="1"/>
      <c r="C174" s="1"/>
      <c r="D174" s="1"/>
      <c r="E174" s="27">
        <v>45351.0</v>
      </c>
      <c r="F174" s="1" t="s">
        <v>454</v>
      </c>
      <c r="G174" s="7" t="s">
        <v>455</v>
      </c>
      <c r="H174" s="16"/>
      <c r="I174" s="4"/>
      <c r="J174" s="4" t="b">
        <v>0</v>
      </c>
      <c r="K174" s="4" t="b">
        <v>0</v>
      </c>
      <c r="L174" s="1"/>
      <c r="M174" s="6"/>
      <c r="N174" s="6"/>
      <c r="O174" s="6"/>
      <c r="P174" s="6"/>
      <c r="Q174" s="6"/>
      <c r="R174" s="6"/>
      <c r="S174" s="6"/>
      <c r="T174" s="6"/>
      <c r="U174" s="6"/>
      <c r="V174" s="6"/>
      <c r="W174" s="6"/>
      <c r="X174" s="6"/>
      <c r="Y174" s="6"/>
      <c r="Z174" s="6"/>
      <c r="AA174" s="6"/>
      <c r="AB174" s="6"/>
    </row>
    <row r="175" collapsed="1">
      <c r="A175" s="1"/>
      <c r="B175" s="1"/>
      <c r="C175" s="1"/>
      <c r="D175" s="1"/>
      <c r="E175" s="28" t="s">
        <v>456</v>
      </c>
      <c r="F175" s="1"/>
      <c r="G175" s="5"/>
      <c r="H175" s="16"/>
      <c r="I175" s="4"/>
      <c r="J175" s="4" t="b">
        <v>0</v>
      </c>
      <c r="K175" s="4" t="b">
        <v>0</v>
      </c>
      <c r="L175" s="1"/>
      <c r="M175" s="6"/>
      <c r="N175" s="1"/>
      <c r="O175" s="1"/>
      <c r="P175" s="1"/>
      <c r="Q175" s="1"/>
      <c r="R175" s="1"/>
      <c r="S175" s="1"/>
      <c r="T175" s="1"/>
      <c r="U175" s="1"/>
      <c r="V175" s="1"/>
      <c r="W175" s="1"/>
      <c r="X175" s="1"/>
      <c r="Y175" s="1"/>
      <c r="Z175" s="1"/>
      <c r="AA175" s="1"/>
      <c r="AB175" s="1"/>
    </row>
    <row r="176" hidden="1" outlineLevel="1">
      <c r="A176" s="1"/>
      <c r="B176" s="1"/>
      <c r="C176" s="1"/>
      <c r="D176" s="1"/>
      <c r="E176" s="27">
        <v>45356.0</v>
      </c>
      <c r="F176" s="1" t="s">
        <v>457</v>
      </c>
      <c r="G176" s="7" t="s">
        <v>458</v>
      </c>
      <c r="H176" s="16"/>
      <c r="I176" s="4"/>
      <c r="J176" s="4" t="b">
        <v>0</v>
      </c>
      <c r="K176" s="4" t="b">
        <v>1</v>
      </c>
      <c r="L176" s="1" t="s">
        <v>459</v>
      </c>
      <c r="M176" s="6"/>
      <c r="N176" s="1" t="s">
        <v>460</v>
      </c>
      <c r="O176" s="1"/>
      <c r="P176" s="1"/>
      <c r="Q176" s="1"/>
      <c r="R176" s="1"/>
      <c r="S176" s="1"/>
      <c r="T176" s="1"/>
      <c r="U176" s="1"/>
      <c r="V176" s="1"/>
      <c r="W176" s="1"/>
      <c r="X176" s="1"/>
      <c r="Y176" s="1"/>
      <c r="Z176" s="1"/>
      <c r="AA176" s="1"/>
      <c r="AB176" s="1"/>
    </row>
    <row r="177" hidden="1" outlineLevel="1">
      <c r="A177" s="1"/>
      <c r="B177" s="1"/>
      <c r="C177" s="1"/>
      <c r="D177" s="1"/>
      <c r="E177" s="27">
        <v>45358.0</v>
      </c>
      <c r="F177" s="1" t="s">
        <v>461</v>
      </c>
      <c r="G177" s="7" t="s">
        <v>462</v>
      </c>
      <c r="H177" s="16"/>
      <c r="I177" s="4"/>
      <c r="J177" s="4" t="b">
        <v>0</v>
      </c>
      <c r="K177" s="4" t="b">
        <v>0</v>
      </c>
      <c r="L177" s="1" t="s">
        <v>423</v>
      </c>
      <c r="M177" s="6"/>
      <c r="N177" s="6"/>
      <c r="O177" s="6"/>
      <c r="P177" s="6"/>
      <c r="Q177" s="6"/>
      <c r="R177" s="6"/>
      <c r="S177" s="6"/>
      <c r="T177" s="6"/>
      <c r="U177" s="6"/>
      <c r="V177" s="6"/>
      <c r="W177" s="6"/>
      <c r="X177" s="6"/>
      <c r="Y177" s="6"/>
      <c r="Z177" s="6"/>
      <c r="AA177" s="6"/>
      <c r="AB177" s="6"/>
    </row>
    <row r="178" hidden="1" outlineLevel="1">
      <c r="A178" s="1"/>
      <c r="B178" s="1"/>
      <c r="C178" s="1"/>
      <c r="D178" s="1"/>
      <c r="E178" s="27">
        <v>45362.0</v>
      </c>
      <c r="F178" s="1" t="s">
        <v>463</v>
      </c>
      <c r="G178" s="7" t="s">
        <v>464</v>
      </c>
      <c r="H178" s="16"/>
      <c r="I178" s="4"/>
      <c r="J178" s="4" t="b">
        <v>0</v>
      </c>
      <c r="K178" s="4" t="b">
        <v>0</v>
      </c>
      <c r="L178" s="1"/>
      <c r="M178" s="6"/>
      <c r="N178" s="1" t="s">
        <v>465</v>
      </c>
      <c r="O178" s="1"/>
      <c r="P178" s="1"/>
      <c r="Q178" s="1"/>
      <c r="R178" s="1"/>
      <c r="S178" s="1"/>
      <c r="T178" s="1"/>
      <c r="U178" s="1"/>
      <c r="V178" s="1"/>
      <c r="W178" s="1"/>
      <c r="X178" s="1"/>
      <c r="Y178" s="1"/>
      <c r="Z178" s="1"/>
      <c r="AA178" s="1"/>
      <c r="AB178" s="1"/>
    </row>
    <row r="179" hidden="1" outlineLevel="1">
      <c r="A179" s="1"/>
      <c r="B179" s="1"/>
      <c r="C179" s="1"/>
      <c r="D179" s="1"/>
      <c r="E179" s="27">
        <v>45363.0</v>
      </c>
      <c r="F179" s="1" t="s">
        <v>466</v>
      </c>
      <c r="G179" s="7" t="s">
        <v>467</v>
      </c>
      <c r="H179" s="16"/>
      <c r="I179" s="4"/>
      <c r="J179" s="4" t="b">
        <v>0</v>
      </c>
      <c r="K179" s="4" t="b">
        <v>0</v>
      </c>
      <c r="L179" s="1" t="s">
        <v>468</v>
      </c>
      <c r="M179" s="6"/>
      <c r="N179" s="6"/>
      <c r="O179" s="6"/>
      <c r="P179" s="6"/>
      <c r="Q179" s="6"/>
      <c r="R179" s="6"/>
      <c r="S179" s="6"/>
      <c r="T179" s="6"/>
      <c r="U179" s="6"/>
      <c r="V179" s="6"/>
      <c r="W179" s="6"/>
      <c r="X179" s="6"/>
      <c r="Y179" s="6"/>
      <c r="Z179" s="6"/>
      <c r="AA179" s="6"/>
      <c r="AB179" s="6"/>
    </row>
    <row r="180" hidden="1" outlineLevel="1">
      <c r="A180" s="1"/>
      <c r="B180" s="1"/>
      <c r="C180" s="1"/>
      <c r="D180" s="1"/>
      <c r="E180" s="27">
        <v>45363.0</v>
      </c>
      <c r="F180" s="1" t="s">
        <v>469</v>
      </c>
      <c r="G180" s="7" t="s">
        <v>470</v>
      </c>
      <c r="H180" s="16"/>
      <c r="I180" s="4"/>
      <c r="J180" s="4" t="b">
        <v>0</v>
      </c>
      <c r="K180" s="4" t="b">
        <v>0</v>
      </c>
      <c r="L180" s="1" t="s">
        <v>471</v>
      </c>
      <c r="M180" s="6"/>
      <c r="N180" s="1" t="s">
        <v>472</v>
      </c>
      <c r="O180" s="1"/>
      <c r="P180" s="1"/>
      <c r="Q180" s="1"/>
      <c r="R180" s="1"/>
      <c r="S180" s="1"/>
      <c r="T180" s="1"/>
      <c r="U180" s="1"/>
      <c r="V180" s="1"/>
      <c r="W180" s="1"/>
      <c r="X180" s="1"/>
      <c r="Y180" s="1"/>
      <c r="Z180" s="1"/>
      <c r="AA180" s="1"/>
      <c r="AB180" s="1"/>
    </row>
    <row r="181" hidden="1" outlineLevel="1">
      <c r="A181" s="1"/>
      <c r="B181" s="1"/>
      <c r="C181" s="1"/>
      <c r="D181" s="1"/>
      <c r="E181" s="27">
        <v>45352.0</v>
      </c>
      <c r="F181" s="1" t="s">
        <v>473</v>
      </c>
      <c r="G181" s="7" t="s">
        <v>474</v>
      </c>
      <c r="H181" s="16"/>
      <c r="I181" s="4"/>
      <c r="J181" s="4" t="b">
        <v>0</v>
      </c>
      <c r="K181" s="4" t="b">
        <v>0</v>
      </c>
      <c r="L181" s="1" t="s">
        <v>475</v>
      </c>
      <c r="M181" s="6"/>
      <c r="N181" s="6"/>
      <c r="O181" s="6"/>
      <c r="P181" s="6"/>
      <c r="Q181" s="6"/>
      <c r="R181" s="6"/>
      <c r="S181" s="6"/>
      <c r="T181" s="6"/>
      <c r="U181" s="6"/>
      <c r="V181" s="6"/>
      <c r="W181" s="6"/>
      <c r="X181" s="6"/>
      <c r="Y181" s="6"/>
      <c r="Z181" s="6"/>
      <c r="AA181" s="6"/>
      <c r="AB181" s="6"/>
    </row>
    <row r="182" hidden="1" outlineLevel="1">
      <c r="A182" s="1"/>
      <c r="B182" s="1"/>
      <c r="C182" s="1"/>
      <c r="D182" s="1"/>
      <c r="E182" s="27">
        <v>45364.0</v>
      </c>
      <c r="F182" s="1" t="s">
        <v>476</v>
      </c>
      <c r="G182" s="7" t="s">
        <v>477</v>
      </c>
      <c r="H182" s="16"/>
      <c r="I182" s="4"/>
      <c r="J182" s="4" t="b">
        <v>0</v>
      </c>
      <c r="K182" s="4" t="b">
        <v>0</v>
      </c>
      <c r="L182" s="1" t="s">
        <v>478</v>
      </c>
      <c r="M182" s="6"/>
      <c r="N182" s="1" t="s">
        <v>479</v>
      </c>
      <c r="O182" s="1"/>
      <c r="P182" s="1"/>
      <c r="Q182" s="1"/>
      <c r="R182" s="1"/>
      <c r="S182" s="1"/>
      <c r="T182" s="1"/>
      <c r="U182" s="1"/>
      <c r="V182" s="1"/>
      <c r="W182" s="1"/>
      <c r="X182" s="1"/>
      <c r="Y182" s="1"/>
      <c r="Z182" s="1"/>
      <c r="AA182" s="1"/>
      <c r="AB182" s="1"/>
    </row>
    <row r="183" hidden="1" outlineLevel="1">
      <c r="A183" s="1"/>
      <c r="B183" s="1"/>
      <c r="C183" s="1"/>
      <c r="D183" s="1"/>
      <c r="E183" s="27">
        <v>45364.0</v>
      </c>
      <c r="F183" s="1" t="s">
        <v>480</v>
      </c>
      <c r="G183" s="7" t="s">
        <v>481</v>
      </c>
      <c r="H183" s="16"/>
      <c r="I183" s="4"/>
      <c r="J183" s="4" t="b">
        <v>0</v>
      </c>
      <c r="K183" s="4" t="b">
        <v>0</v>
      </c>
      <c r="L183" s="1" t="s">
        <v>482</v>
      </c>
      <c r="M183" s="6"/>
      <c r="N183" s="6"/>
      <c r="O183" s="6"/>
      <c r="P183" s="6"/>
      <c r="Q183" s="6"/>
      <c r="R183" s="6"/>
      <c r="S183" s="6"/>
      <c r="T183" s="6"/>
      <c r="U183" s="6"/>
      <c r="V183" s="6"/>
      <c r="W183" s="6"/>
      <c r="X183" s="6"/>
      <c r="Y183" s="6"/>
      <c r="Z183" s="6"/>
      <c r="AA183" s="6"/>
      <c r="AB183" s="6"/>
    </row>
    <row r="184" hidden="1" outlineLevel="1">
      <c r="A184" s="1"/>
      <c r="B184" s="1"/>
      <c r="C184" s="1"/>
      <c r="D184" s="1"/>
      <c r="E184" s="27">
        <v>45365.0</v>
      </c>
      <c r="F184" s="1" t="s">
        <v>483</v>
      </c>
      <c r="G184" s="7" t="s">
        <v>484</v>
      </c>
      <c r="H184" s="16"/>
      <c r="I184" s="4"/>
      <c r="J184" s="4" t="b">
        <v>0</v>
      </c>
      <c r="K184" s="4" t="b">
        <v>0</v>
      </c>
      <c r="L184" s="1" t="s">
        <v>482</v>
      </c>
      <c r="M184" s="6"/>
      <c r="N184" s="6"/>
      <c r="O184" s="6"/>
      <c r="P184" s="6"/>
      <c r="Q184" s="6"/>
      <c r="R184" s="6"/>
      <c r="S184" s="6"/>
      <c r="T184" s="6"/>
      <c r="U184" s="6"/>
      <c r="V184" s="6"/>
      <c r="W184" s="6"/>
      <c r="X184" s="6"/>
      <c r="Y184" s="6"/>
      <c r="Z184" s="6"/>
      <c r="AA184" s="6"/>
      <c r="AB184" s="6"/>
    </row>
    <row r="185" hidden="1" outlineLevel="1">
      <c r="A185" s="1"/>
      <c r="B185" s="1"/>
      <c r="C185" s="1"/>
      <c r="D185" s="1"/>
      <c r="E185" s="27">
        <v>45355.0</v>
      </c>
      <c r="F185" s="1" t="s">
        <v>485</v>
      </c>
      <c r="G185" s="7" t="s">
        <v>486</v>
      </c>
      <c r="H185" s="16"/>
      <c r="I185" s="4"/>
      <c r="J185" s="4" t="b">
        <v>0</v>
      </c>
      <c r="K185" s="4" t="b">
        <v>0</v>
      </c>
      <c r="L185" s="1"/>
      <c r="M185" s="6"/>
      <c r="N185" s="1" t="s">
        <v>487</v>
      </c>
      <c r="O185" s="1"/>
      <c r="P185" s="1"/>
      <c r="Q185" s="1"/>
      <c r="R185" s="1"/>
      <c r="S185" s="1"/>
      <c r="T185" s="1"/>
      <c r="U185" s="1"/>
      <c r="V185" s="1"/>
      <c r="W185" s="1"/>
      <c r="X185" s="1"/>
      <c r="Y185" s="1"/>
      <c r="Z185" s="1"/>
      <c r="AA185" s="1"/>
      <c r="AB185" s="1"/>
    </row>
    <row r="186" hidden="1" outlineLevel="1">
      <c r="A186" s="1"/>
      <c r="B186" s="1"/>
      <c r="C186" s="1"/>
      <c r="D186" s="1"/>
      <c r="E186" s="27">
        <v>45366.0</v>
      </c>
      <c r="F186" s="1" t="s">
        <v>488</v>
      </c>
      <c r="G186" s="7" t="s">
        <v>489</v>
      </c>
      <c r="H186" s="16"/>
      <c r="I186" s="4"/>
      <c r="J186" s="4" t="b">
        <v>0</v>
      </c>
      <c r="K186" s="4" t="b">
        <v>0</v>
      </c>
      <c r="L186" s="1" t="s">
        <v>490</v>
      </c>
      <c r="M186" s="6"/>
      <c r="N186" s="1" t="s">
        <v>487</v>
      </c>
      <c r="O186" s="1"/>
      <c r="P186" s="1"/>
      <c r="Q186" s="1"/>
      <c r="R186" s="1"/>
      <c r="S186" s="1"/>
      <c r="T186" s="1"/>
      <c r="U186" s="1"/>
      <c r="V186" s="1"/>
      <c r="W186" s="1"/>
      <c r="X186" s="1"/>
      <c r="Y186" s="1"/>
      <c r="Z186" s="1"/>
      <c r="AA186" s="1"/>
      <c r="AB186" s="1"/>
    </row>
    <row r="187" hidden="1" outlineLevel="1">
      <c r="A187" s="1"/>
      <c r="B187" s="1"/>
      <c r="C187" s="1"/>
      <c r="D187" s="1"/>
      <c r="E187" s="27">
        <v>45372.0</v>
      </c>
      <c r="F187" s="1" t="s">
        <v>491</v>
      </c>
      <c r="G187" s="7" t="s">
        <v>492</v>
      </c>
      <c r="H187" s="16"/>
      <c r="I187" s="4"/>
      <c r="J187" s="4" t="b">
        <v>0</v>
      </c>
      <c r="K187" s="4" t="b">
        <v>0</v>
      </c>
      <c r="L187" s="1" t="s">
        <v>493</v>
      </c>
      <c r="M187" s="6"/>
      <c r="N187" s="1" t="s">
        <v>487</v>
      </c>
      <c r="O187" s="1"/>
      <c r="P187" s="1"/>
      <c r="Q187" s="1"/>
      <c r="R187" s="1"/>
      <c r="S187" s="1"/>
      <c r="T187" s="1"/>
      <c r="U187" s="1"/>
      <c r="V187" s="1"/>
      <c r="W187" s="1"/>
      <c r="X187" s="1"/>
      <c r="Y187" s="1"/>
      <c r="Z187" s="1"/>
      <c r="AA187" s="1"/>
      <c r="AB187" s="1"/>
    </row>
    <row r="188" hidden="1" outlineLevel="1">
      <c r="A188" s="1"/>
      <c r="B188" s="1"/>
      <c r="C188" s="1"/>
      <c r="D188" s="29"/>
      <c r="E188" s="27">
        <v>45377.0</v>
      </c>
      <c r="F188" s="1" t="s">
        <v>494</v>
      </c>
      <c r="G188" s="7" t="s">
        <v>495</v>
      </c>
      <c r="H188" s="16"/>
      <c r="I188" s="4"/>
      <c r="J188" s="4" t="b">
        <v>0</v>
      </c>
      <c r="K188" s="4" t="b">
        <v>0</v>
      </c>
      <c r="L188" s="1"/>
      <c r="M188" s="6"/>
      <c r="N188" s="11" t="s">
        <v>496</v>
      </c>
      <c r="O188" s="11"/>
      <c r="P188" s="11"/>
      <c r="Q188" s="11"/>
      <c r="R188" s="11"/>
      <c r="S188" s="11"/>
      <c r="T188" s="11"/>
      <c r="U188" s="11"/>
      <c r="V188" s="11"/>
      <c r="W188" s="11"/>
      <c r="X188" s="11"/>
      <c r="Y188" s="11"/>
      <c r="Z188" s="11"/>
      <c r="AA188" s="11"/>
      <c r="AB188" s="11"/>
    </row>
    <row r="189" hidden="1" outlineLevel="1">
      <c r="A189" s="1"/>
      <c r="B189" s="1"/>
      <c r="C189" s="5"/>
      <c r="D189" s="1"/>
      <c r="E189" s="27">
        <v>45377.0</v>
      </c>
      <c r="F189" s="1" t="s">
        <v>497</v>
      </c>
      <c r="G189" s="7" t="s">
        <v>498</v>
      </c>
      <c r="H189" s="16"/>
      <c r="I189" s="4"/>
      <c r="J189" s="4" t="b">
        <v>0</v>
      </c>
      <c r="K189" s="4" t="b">
        <v>0</v>
      </c>
      <c r="L189" s="1"/>
      <c r="M189" s="6"/>
      <c r="N189" s="11" t="s">
        <v>496</v>
      </c>
      <c r="O189" s="11"/>
      <c r="P189" s="11"/>
      <c r="Q189" s="11"/>
      <c r="R189" s="11"/>
      <c r="S189" s="11"/>
      <c r="T189" s="11"/>
      <c r="U189" s="11"/>
      <c r="V189" s="11"/>
      <c r="W189" s="11"/>
      <c r="X189" s="11"/>
      <c r="Y189" s="11"/>
      <c r="Z189" s="11"/>
      <c r="AA189" s="11"/>
      <c r="AB189" s="11"/>
    </row>
    <row r="190" hidden="1" outlineLevel="1">
      <c r="A190" s="1"/>
      <c r="B190" s="1"/>
      <c r="C190" s="1"/>
      <c r="D190" s="1"/>
      <c r="E190" s="27">
        <v>45377.0</v>
      </c>
      <c r="F190" s="1" t="s">
        <v>499</v>
      </c>
      <c r="G190" s="7" t="s">
        <v>500</v>
      </c>
      <c r="H190" s="16"/>
      <c r="I190" s="4"/>
      <c r="J190" s="4" t="b">
        <v>0</v>
      </c>
      <c r="K190" s="4" t="b">
        <v>0</v>
      </c>
      <c r="L190" s="1"/>
      <c r="M190" s="6"/>
      <c r="N190" s="11" t="s">
        <v>501</v>
      </c>
      <c r="O190" s="11"/>
      <c r="P190" s="11"/>
      <c r="Q190" s="11"/>
      <c r="R190" s="11"/>
      <c r="S190" s="11"/>
      <c r="T190" s="11"/>
      <c r="U190" s="11"/>
      <c r="V190" s="11"/>
      <c r="W190" s="11"/>
      <c r="X190" s="11"/>
      <c r="Y190" s="11"/>
      <c r="Z190" s="11"/>
      <c r="AA190" s="11"/>
      <c r="AB190" s="11"/>
    </row>
    <row r="191" hidden="1" outlineLevel="1">
      <c r="A191" s="1"/>
      <c r="B191" s="1"/>
      <c r="C191" s="1"/>
      <c r="D191" s="1"/>
      <c r="E191" s="27">
        <v>45377.0</v>
      </c>
      <c r="F191" s="1" t="s">
        <v>502</v>
      </c>
      <c r="G191" s="7" t="s">
        <v>503</v>
      </c>
      <c r="H191" s="16"/>
      <c r="I191" s="4"/>
      <c r="J191" s="4" t="b">
        <v>0</v>
      </c>
      <c r="K191" s="4" t="b">
        <v>0</v>
      </c>
      <c r="L191" s="1"/>
      <c r="M191" s="6"/>
      <c r="N191" s="11" t="s">
        <v>496</v>
      </c>
      <c r="O191" s="11"/>
      <c r="P191" s="11"/>
      <c r="Q191" s="11"/>
      <c r="R191" s="11"/>
      <c r="S191" s="11"/>
      <c r="T191" s="11"/>
      <c r="U191" s="11"/>
      <c r="V191" s="11"/>
      <c r="W191" s="11"/>
      <c r="X191" s="11"/>
      <c r="Y191" s="11"/>
      <c r="Z191" s="11"/>
      <c r="AA191" s="11"/>
      <c r="AB191" s="11"/>
    </row>
    <row r="192" hidden="1" outlineLevel="1">
      <c r="A192" s="1"/>
      <c r="B192" s="1"/>
      <c r="C192" s="1"/>
      <c r="D192" s="1"/>
      <c r="E192" s="27">
        <v>45008.0</v>
      </c>
      <c r="F192" s="1" t="s">
        <v>504</v>
      </c>
      <c r="G192" s="7" t="s">
        <v>505</v>
      </c>
      <c r="H192" s="16"/>
      <c r="I192" s="4"/>
      <c r="J192" s="4" t="b">
        <v>0</v>
      </c>
      <c r="K192" s="4" t="b">
        <v>0</v>
      </c>
      <c r="L192" s="1"/>
      <c r="M192" s="6"/>
      <c r="N192" s="11" t="s">
        <v>496</v>
      </c>
      <c r="O192" s="11"/>
      <c r="P192" s="11"/>
      <c r="Q192" s="11"/>
      <c r="R192" s="11"/>
      <c r="S192" s="11"/>
      <c r="T192" s="11"/>
      <c r="U192" s="11"/>
      <c r="V192" s="11"/>
      <c r="W192" s="11"/>
      <c r="X192" s="11"/>
      <c r="Y192" s="11"/>
      <c r="Z192" s="11"/>
      <c r="AA192" s="11"/>
      <c r="AB192" s="11"/>
    </row>
    <row r="193" collapsed="1">
      <c r="A193" s="1"/>
      <c r="B193" s="1"/>
      <c r="C193" s="1"/>
      <c r="D193" s="1"/>
      <c r="E193" s="28" t="s">
        <v>506</v>
      </c>
      <c r="F193" s="1"/>
      <c r="G193" s="5"/>
      <c r="H193" s="16"/>
      <c r="I193" s="4"/>
      <c r="J193" s="4" t="b">
        <v>0</v>
      </c>
      <c r="K193" s="4" t="b">
        <v>0</v>
      </c>
      <c r="L193" s="1"/>
      <c r="M193" s="6"/>
      <c r="N193" s="6"/>
      <c r="O193" s="6"/>
      <c r="P193" s="6"/>
      <c r="Q193" s="6"/>
      <c r="R193" s="6"/>
      <c r="S193" s="6"/>
      <c r="T193" s="6"/>
      <c r="U193" s="6"/>
      <c r="V193" s="6"/>
      <c r="W193" s="6"/>
      <c r="X193" s="6"/>
      <c r="Y193" s="6"/>
      <c r="Z193" s="6"/>
      <c r="AA193" s="6"/>
      <c r="AB193" s="6"/>
    </row>
    <row r="194" hidden="1" outlineLevel="1">
      <c r="A194" s="1" t="s">
        <v>507</v>
      </c>
      <c r="B194" s="1" t="s">
        <v>508</v>
      </c>
      <c r="C194" s="1" t="s">
        <v>509</v>
      </c>
      <c r="D194" s="1" t="s">
        <v>510</v>
      </c>
      <c r="E194" s="27">
        <v>45401.0</v>
      </c>
      <c r="F194" s="1" t="s">
        <v>511</v>
      </c>
      <c r="G194" s="7" t="s">
        <v>512</v>
      </c>
      <c r="H194" s="16"/>
      <c r="I194" s="4"/>
      <c r="J194" s="4" t="b">
        <v>0</v>
      </c>
      <c r="K194" s="4" t="b">
        <v>0</v>
      </c>
      <c r="L194" s="1"/>
      <c r="M194" s="6"/>
      <c r="N194" s="6"/>
      <c r="O194" s="6"/>
      <c r="P194" s="6"/>
      <c r="Q194" s="6"/>
      <c r="R194" s="6"/>
      <c r="S194" s="6"/>
      <c r="T194" s="6"/>
      <c r="U194" s="6"/>
      <c r="V194" s="6"/>
      <c r="W194" s="6"/>
      <c r="X194" s="6"/>
      <c r="Y194" s="6"/>
      <c r="Z194" s="6"/>
      <c r="AA194" s="6"/>
      <c r="AB194" s="6"/>
    </row>
    <row r="195" hidden="1" outlineLevel="1">
      <c r="A195" s="1" t="s">
        <v>507</v>
      </c>
      <c r="B195" s="1" t="s">
        <v>508</v>
      </c>
      <c r="C195" s="1" t="s">
        <v>509</v>
      </c>
      <c r="D195" s="1" t="s">
        <v>513</v>
      </c>
      <c r="E195" s="27">
        <v>45401.0</v>
      </c>
      <c r="F195" s="1" t="s">
        <v>514</v>
      </c>
      <c r="G195" s="7" t="s">
        <v>515</v>
      </c>
      <c r="H195" s="16"/>
      <c r="I195" s="4"/>
      <c r="J195" s="4" t="b">
        <v>0</v>
      </c>
      <c r="K195" s="4" t="b">
        <v>0</v>
      </c>
      <c r="L195" s="1"/>
      <c r="M195" s="6"/>
      <c r="N195" s="6"/>
      <c r="O195" s="6"/>
      <c r="P195" s="6"/>
      <c r="Q195" s="6"/>
      <c r="R195" s="6"/>
      <c r="S195" s="6"/>
      <c r="T195" s="6"/>
      <c r="U195" s="6"/>
      <c r="V195" s="6"/>
      <c r="W195" s="6"/>
      <c r="X195" s="6"/>
      <c r="Y195" s="6"/>
      <c r="Z195" s="6"/>
      <c r="AA195" s="6"/>
      <c r="AB195" s="6"/>
    </row>
    <row r="196" hidden="1" outlineLevel="1">
      <c r="A196" s="1" t="s">
        <v>507</v>
      </c>
      <c r="B196" s="1" t="s">
        <v>508</v>
      </c>
      <c r="C196" s="1" t="s">
        <v>509</v>
      </c>
      <c r="D196" s="1" t="s">
        <v>516</v>
      </c>
      <c r="E196" s="27">
        <v>45401.0</v>
      </c>
      <c r="F196" s="1" t="s">
        <v>517</v>
      </c>
      <c r="G196" s="7" t="s">
        <v>518</v>
      </c>
      <c r="H196" s="16"/>
      <c r="I196" s="4"/>
      <c r="J196" s="4" t="b">
        <v>0</v>
      </c>
      <c r="K196" s="4" t="b">
        <v>0</v>
      </c>
      <c r="L196" s="1"/>
      <c r="M196" s="6"/>
      <c r="N196" s="6"/>
      <c r="O196" s="6"/>
      <c r="P196" s="6"/>
      <c r="Q196" s="6"/>
      <c r="R196" s="6"/>
      <c r="S196" s="6"/>
      <c r="T196" s="6"/>
      <c r="U196" s="6"/>
      <c r="V196" s="6"/>
      <c r="W196" s="6"/>
      <c r="X196" s="6"/>
      <c r="Y196" s="6"/>
      <c r="Z196" s="6"/>
      <c r="AA196" s="6"/>
      <c r="AB196" s="6"/>
    </row>
    <row r="197" hidden="1" outlineLevel="1">
      <c r="A197" s="1" t="s">
        <v>519</v>
      </c>
      <c r="B197" s="1" t="s">
        <v>520</v>
      </c>
      <c r="C197" s="1" t="s">
        <v>521</v>
      </c>
      <c r="D197" s="1" t="s">
        <v>522</v>
      </c>
      <c r="E197" s="27">
        <v>45401.0</v>
      </c>
      <c r="F197" s="1" t="s">
        <v>523</v>
      </c>
      <c r="G197" s="5"/>
      <c r="H197" s="16"/>
      <c r="I197" s="4"/>
      <c r="J197" s="4" t="b">
        <v>0</v>
      </c>
      <c r="K197" s="4" t="b">
        <v>0</v>
      </c>
      <c r="L197" s="1"/>
      <c r="M197" s="6"/>
      <c r="N197" s="6"/>
      <c r="O197" s="6"/>
      <c r="P197" s="6"/>
      <c r="Q197" s="6"/>
      <c r="R197" s="6"/>
      <c r="S197" s="6"/>
      <c r="T197" s="6"/>
      <c r="U197" s="6"/>
      <c r="V197" s="6"/>
      <c r="W197" s="6"/>
      <c r="X197" s="6"/>
      <c r="Y197" s="6"/>
      <c r="Z197" s="6"/>
      <c r="AA197" s="6"/>
      <c r="AB197" s="6"/>
    </row>
    <row r="198" hidden="1" outlineLevel="1">
      <c r="A198" s="1" t="s">
        <v>507</v>
      </c>
      <c r="B198" s="1" t="s">
        <v>508</v>
      </c>
      <c r="C198" s="1" t="s">
        <v>524</v>
      </c>
      <c r="D198" s="1" t="s">
        <v>525</v>
      </c>
      <c r="E198" s="27">
        <v>45401.0</v>
      </c>
      <c r="F198" s="1" t="s">
        <v>526</v>
      </c>
      <c r="G198" s="7" t="s">
        <v>527</v>
      </c>
      <c r="H198" s="9" t="s">
        <v>528</v>
      </c>
      <c r="I198" s="4"/>
      <c r="J198" s="4" t="b">
        <v>0</v>
      </c>
      <c r="K198" s="4" t="b">
        <v>0</v>
      </c>
      <c r="L198" s="1"/>
      <c r="M198" s="6"/>
      <c r="N198" s="6"/>
      <c r="O198" s="6"/>
      <c r="P198" s="6"/>
      <c r="Q198" s="6"/>
      <c r="R198" s="6"/>
      <c r="S198" s="6"/>
      <c r="T198" s="6"/>
      <c r="U198" s="6"/>
      <c r="V198" s="6"/>
      <c r="W198" s="6"/>
      <c r="X198" s="6"/>
      <c r="Y198" s="6"/>
      <c r="Z198" s="6"/>
      <c r="AA198" s="6"/>
      <c r="AB198" s="6"/>
    </row>
    <row r="199" hidden="1" outlineLevel="1">
      <c r="A199" s="1" t="s">
        <v>507</v>
      </c>
      <c r="B199" s="1" t="s">
        <v>529</v>
      </c>
      <c r="C199" s="1" t="s">
        <v>509</v>
      </c>
      <c r="D199" s="1" t="s">
        <v>530</v>
      </c>
      <c r="E199" s="27">
        <v>45401.0</v>
      </c>
      <c r="F199" s="1" t="s">
        <v>531</v>
      </c>
      <c r="G199" s="7" t="s">
        <v>532</v>
      </c>
      <c r="H199" s="16"/>
      <c r="I199" s="4"/>
      <c r="J199" s="4" t="b">
        <v>0</v>
      </c>
      <c r="K199" s="4" t="b">
        <v>0</v>
      </c>
      <c r="L199" s="1"/>
      <c r="M199" s="6"/>
      <c r="N199" s="6"/>
      <c r="O199" s="6"/>
      <c r="P199" s="6"/>
      <c r="Q199" s="6"/>
      <c r="R199" s="6"/>
      <c r="S199" s="6"/>
      <c r="T199" s="6"/>
      <c r="U199" s="6"/>
      <c r="V199" s="6"/>
      <c r="W199" s="6"/>
      <c r="X199" s="6"/>
      <c r="Y199" s="6"/>
      <c r="Z199" s="6"/>
      <c r="AA199" s="6"/>
      <c r="AB199" s="6"/>
    </row>
    <row r="200" hidden="1" outlineLevel="1">
      <c r="A200" s="1" t="s">
        <v>519</v>
      </c>
      <c r="B200" s="1" t="s">
        <v>529</v>
      </c>
      <c r="C200" s="1" t="s">
        <v>533</v>
      </c>
      <c r="D200" s="1" t="s">
        <v>534</v>
      </c>
      <c r="E200" s="27">
        <v>45401.0</v>
      </c>
      <c r="F200" s="1" t="s">
        <v>535</v>
      </c>
      <c r="G200" s="5" t="s">
        <v>536</v>
      </c>
      <c r="H200" s="16"/>
      <c r="I200" s="4"/>
      <c r="J200" s="4" t="b">
        <v>0</v>
      </c>
      <c r="K200" s="4" t="b">
        <v>0</v>
      </c>
      <c r="L200" s="1"/>
      <c r="M200" s="6"/>
      <c r="N200" s="6"/>
      <c r="O200" s="6"/>
      <c r="P200" s="6"/>
      <c r="Q200" s="6"/>
      <c r="R200" s="6"/>
      <c r="S200" s="6"/>
      <c r="T200" s="6"/>
      <c r="U200" s="6"/>
      <c r="V200" s="6"/>
      <c r="W200" s="6"/>
      <c r="X200" s="6"/>
      <c r="Y200" s="6"/>
      <c r="Z200" s="6"/>
      <c r="AA200" s="6"/>
      <c r="AB200" s="6"/>
    </row>
    <row r="201" hidden="1" outlineLevel="1">
      <c r="A201" s="1"/>
      <c r="B201" s="1"/>
      <c r="C201" s="1"/>
      <c r="D201" s="1"/>
      <c r="E201" s="27"/>
      <c r="F201" s="1"/>
      <c r="G201" s="5"/>
      <c r="H201" s="16"/>
      <c r="I201" s="4"/>
      <c r="J201" s="4" t="b">
        <v>0</v>
      </c>
      <c r="K201" s="4" t="b">
        <v>0</v>
      </c>
      <c r="L201" s="1"/>
      <c r="M201" s="6"/>
      <c r="N201" s="1"/>
      <c r="O201" s="1"/>
      <c r="P201" s="1"/>
      <c r="Q201" s="1"/>
      <c r="R201" s="1"/>
      <c r="S201" s="1"/>
      <c r="T201" s="1"/>
      <c r="U201" s="1"/>
      <c r="V201" s="1"/>
      <c r="W201" s="1"/>
      <c r="X201" s="1"/>
      <c r="Y201" s="1"/>
      <c r="Z201" s="1"/>
      <c r="AA201" s="1"/>
      <c r="AB201" s="1"/>
    </row>
    <row r="202" hidden="1" outlineLevel="1">
      <c r="A202" s="1" t="s">
        <v>519</v>
      </c>
      <c r="B202" s="1" t="s">
        <v>537</v>
      </c>
      <c r="C202" s="1" t="s">
        <v>538</v>
      </c>
      <c r="D202" s="1" t="s">
        <v>539</v>
      </c>
      <c r="E202" s="27">
        <v>45329.0</v>
      </c>
      <c r="F202" s="1" t="s">
        <v>540</v>
      </c>
      <c r="G202" s="7" t="s">
        <v>541</v>
      </c>
      <c r="H202" s="16"/>
      <c r="I202" s="4"/>
      <c r="J202" s="4" t="b">
        <v>0</v>
      </c>
      <c r="K202" s="4" t="b">
        <v>0</v>
      </c>
      <c r="L202" s="1"/>
      <c r="M202" s="6"/>
      <c r="N202" s="1" t="s">
        <v>542</v>
      </c>
      <c r="O202" s="1"/>
      <c r="P202" s="1"/>
      <c r="Q202" s="1"/>
      <c r="R202" s="1"/>
      <c r="S202" s="1"/>
      <c r="T202" s="1"/>
      <c r="U202" s="1"/>
      <c r="V202" s="1"/>
      <c r="W202" s="1"/>
      <c r="X202" s="1"/>
      <c r="Y202" s="1"/>
      <c r="Z202" s="1"/>
      <c r="AA202" s="1"/>
      <c r="AB202" s="1"/>
    </row>
    <row r="203" hidden="1" outlineLevel="1">
      <c r="A203" s="1" t="s">
        <v>519</v>
      </c>
      <c r="B203" s="1" t="s">
        <v>537</v>
      </c>
      <c r="C203" s="1" t="s">
        <v>543</v>
      </c>
      <c r="D203" s="1" t="s">
        <v>544</v>
      </c>
      <c r="E203" s="27">
        <v>45398.0</v>
      </c>
      <c r="F203" s="1" t="s">
        <v>545</v>
      </c>
      <c r="G203" s="7" t="s">
        <v>546</v>
      </c>
      <c r="H203" s="16"/>
      <c r="I203" s="4"/>
      <c r="J203" s="4" t="b">
        <v>0</v>
      </c>
      <c r="K203" s="4" t="b">
        <v>0</v>
      </c>
      <c r="L203" s="1"/>
      <c r="M203" s="6"/>
      <c r="N203" s="1" t="s">
        <v>547</v>
      </c>
      <c r="O203" s="1"/>
      <c r="P203" s="1"/>
      <c r="Q203" s="1"/>
      <c r="R203" s="1"/>
      <c r="S203" s="1"/>
      <c r="T203" s="1"/>
      <c r="U203" s="1"/>
      <c r="V203" s="1"/>
      <c r="W203" s="1"/>
      <c r="X203" s="1"/>
      <c r="Y203" s="1"/>
      <c r="Z203" s="1"/>
      <c r="AA203" s="1"/>
      <c r="AB203" s="1"/>
    </row>
    <row r="204" hidden="1" outlineLevel="1">
      <c r="A204" s="1" t="s">
        <v>519</v>
      </c>
      <c r="B204" s="1" t="s">
        <v>537</v>
      </c>
      <c r="C204" s="1" t="s">
        <v>543</v>
      </c>
      <c r="D204" s="1" t="s">
        <v>548</v>
      </c>
      <c r="E204" s="27">
        <v>45393.0</v>
      </c>
      <c r="F204" s="1" t="s">
        <v>549</v>
      </c>
      <c r="G204" s="7" t="s">
        <v>550</v>
      </c>
      <c r="H204" s="16"/>
      <c r="I204" s="4"/>
      <c r="J204" s="4" t="b">
        <v>0</v>
      </c>
      <c r="K204" s="4" t="b">
        <v>0</v>
      </c>
      <c r="L204" s="1"/>
      <c r="M204" s="6"/>
      <c r="N204" s="1" t="s">
        <v>547</v>
      </c>
      <c r="O204" s="1"/>
      <c r="P204" s="1"/>
      <c r="Q204" s="1"/>
      <c r="R204" s="1"/>
      <c r="S204" s="1"/>
      <c r="T204" s="1"/>
      <c r="U204" s="1"/>
      <c r="V204" s="1"/>
      <c r="W204" s="1"/>
      <c r="X204" s="1"/>
      <c r="Y204" s="1"/>
      <c r="Z204" s="1"/>
      <c r="AA204" s="1"/>
      <c r="AB204" s="1"/>
    </row>
    <row r="205" hidden="1" outlineLevel="1">
      <c r="A205" s="1" t="s">
        <v>519</v>
      </c>
      <c r="B205" s="1" t="s">
        <v>529</v>
      </c>
      <c r="C205" s="1" t="s">
        <v>543</v>
      </c>
      <c r="D205" s="1" t="s">
        <v>551</v>
      </c>
      <c r="E205" s="27">
        <v>45385.0</v>
      </c>
      <c r="F205" s="1" t="s">
        <v>552</v>
      </c>
      <c r="G205" s="7" t="s">
        <v>553</v>
      </c>
      <c r="H205" s="16"/>
      <c r="I205" s="4"/>
      <c r="J205" s="4" t="b">
        <v>0</v>
      </c>
      <c r="K205" s="4" t="b">
        <v>0</v>
      </c>
      <c r="L205" s="1"/>
      <c r="M205" s="6"/>
      <c r="N205" s="1" t="s">
        <v>554</v>
      </c>
      <c r="O205" s="1"/>
      <c r="P205" s="1"/>
      <c r="Q205" s="1"/>
      <c r="R205" s="1"/>
      <c r="S205" s="1"/>
      <c r="T205" s="1"/>
      <c r="U205" s="1"/>
      <c r="V205" s="1"/>
      <c r="W205" s="1"/>
      <c r="X205" s="1"/>
      <c r="Y205" s="1"/>
      <c r="Z205" s="1"/>
      <c r="AA205" s="1"/>
      <c r="AB205" s="1"/>
    </row>
    <row r="206" hidden="1" outlineLevel="1">
      <c r="A206" s="1" t="s">
        <v>519</v>
      </c>
      <c r="B206" s="1" t="s">
        <v>520</v>
      </c>
      <c r="C206" s="1" t="s">
        <v>543</v>
      </c>
      <c r="D206" s="1" t="s">
        <v>555</v>
      </c>
      <c r="E206" s="27">
        <v>45391.0</v>
      </c>
      <c r="F206" s="1" t="s">
        <v>556</v>
      </c>
      <c r="G206" s="7" t="s">
        <v>557</v>
      </c>
      <c r="H206" s="16"/>
      <c r="I206" s="4"/>
      <c r="J206" s="4" t="b">
        <v>0</v>
      </c>
      <c r="K206" s="4" t="b">
        <v>0</v>
      </c>
      <c r="L206" s="1"/>
      <c r="M206" s="6"/>
      <c r="N206" s="1" t="s">
        <v>558</v>
      </c>
      <c r="O206" s="1"/>
      <c r="P206" s="1"/>
      <c r="Q206" s="1"/>
      <c r="R206" s="1"/>
      <c r="S206" s="1"/>
      <c r="T206" s="1"/>
      <c r="U206" s="1"/>
      <c r="V206" s="1"/>
      <c r="W206" s="1"/>
      <c r="X206" s="1"/>
      <c r="Y206" s="1"/>
      <c r="Z206" s="1"/>
      <c r="AA206" s="1"/>
      <c r="AB206" s="1"/>
    </row>
    <row r="207" hidden="1" outlineLevel="1">
      <c r="A207" s="1" t="s">
        <v>519</v>
      </c>
      <c r="B207" s="1" t="s">
        <v>537</v>
      </c>
      <c r="C207" s="1" t="s">
        <v>559</v>
      </c>
      <c r="D207" s="1" t="s">
        <v>560</v>
      </c>
      <c r="E207" s="27">
        <v>45405.0</v>
      </c>
      <c r="F207" s="1" t="s">
        <v>561</v>
      </c>
      <c r="G207" s="7" t="s">
        <v>562</v>
      </c>
      <c r="H207" s="16"/>
      <c r="I207" s="4"/>
      <c r="J207" s="4" t="b">
        <v>0</v>
      </c>
      <c r="K207" s="4" t="b">
        <v>0</v>
      </c>
      <c r="L207" s="1"/>
      <c r="M207" s="6"/>
      <c r="N207" s="1" t="s">
        <v>563</v>
      </c>
      <c r="O207" s="1"/>
      <c r="P207" s="1"/>
      <c r="Q207" s="1"/>
      <c r="R207" s="1"/>
      <c r="S207" s="1"/>
      <c r="T207" s="1"/>
      <c r="U207" s="1"/>
      <c r="V207" s="1"/>
      <c r="W207" s="1"/>
      <c r="X207" s="1"/>
      <c r="Y207" s="1"/>
      <c r="Z207" s="1"/>
      <c r="AA207" s="1"/>
      <c r="AB207" s="1"/>
    </row>
    <row r="208" hidden="1" outlineLevel="1">
      <c r="A208" s="1" t="s">
        <v>507</v>
      </c>
      <c r="B208" s="1" t="s">
        <v>529</v>
      </c>
      <c r="C208" s="1" t="s">
        <v>564</v>
      </c>
      <c r="D208" s="1" t="s">
        <v>565</v>
      </c>
      <c r="E208" s="27">
        <v>45408.0</v>
      </c>
      <c r="F208" s="1" t="s">
        <v>566</v>
      </c>
      <c r="G208" s="7" t="s">
        <v>567</v>
      </c>
      <c r="H208" s="9" t="s">
        <v>568</v>
      </c>
      <c r="I208" s="4"/>
      <c r="J208" s="4" t="b">
        <v>0</v>
      </c>
      <c r="K208" s="4" t="b">
        <v>0</v>
      </c>
      <c r="L208" s="1"/>
      <c r="M208" s="6"/>
      <c r="N208" s="1"/>
      <c r="O208" s="1"/>
      <c r="P208" s="1"/>
      <c r="Q208" s="1"/>
      <c r="R208" s="1"/>
      <c r="S208" s="1"/>
      <c r="T208" s="1"/>
      <c r="U208" s="1"/>
      <c r="V208" s="1"/>
      <c r="W208" s="1"/>
      <c r="X208" s="1"/>
      <c r="Y208" s="1"/>
      <c r="Z208" s="1"/>
      <c r="AA208" s="1"/>
      <c r="AB208" s="1"/>
    </row>
    <row r="209" hidden="1" outlineLevel="1">
      <c r="A209" s="1" t="s">
        <v>519</v>
      </c>
      <c r="B209" s="1" t="s">
        <v>569</v>
      </c>
      <c r="C209" s="1" t="s">
        <v>570</v>
      </c>
      <c r="D209" s="1" t="s">
        <v>571</v>
      </c>
      <c r="E209" s="27">
        <v>45401.0</v>
      </c>
      <c r="F209" s="1" t="s">
        <v>572</v>
      </c>
      <c r="G209" s="7" t="s">
        <v>573</v>
      </c>
      <c r="H209" s="16"/>
      <c r="I209" s="4"/>
      <c r="J209" s="4" t="b">
        <v>0</v>
      </c>
      <c r="K209" s="4" t="b">
        <v>0</v>
      </c>
      <c r="L209" s="1"/>
      <c r="M209" s="6"/>
      <c r="N209" s="1"/>
      <c r="O209" s="1"/>
      <c r="P209" s="1"/>
      <c r="Q209" s="1"/>
      <c r="R209" s="1"/>
      <c r="S209" s="1"/>
      <c r="T209" s="1"/>
      <c r="U209" s="1"/>
      <c r="V209" s="1"/>
      <c r="W209" s="1"/>
      <c r="X209" s="1"/>
      <c r="Y209" s="1"/>
      <c r="Z209" s="1"/>
      <c r="AA209" s="1"/>
      <c r="AB209" s="1"/>
    </row>
    <row r="210" hidden="1" outlineLevel="1">
      <c r="A210" s="1" t="s">
        <v>574</v>
      </c>
      <c r="B210" s="1" t="s">
        <v>529</v>
      </c>
      <c r="C210" s="1" t="s">
        <v>575</v>
      </c>
      <c r="D210" s="1" t="s">
        <v>576</v>
      </c>
      <c r="E210" s="27">
        <v>45401.0</v>
      </c>
      <c r="F210" s="1" t="s">
        <v>577</v>
      </c>
      <c r="G210" s="7" t="s">
        <v>578</v>
      </c>
      <c r="H210" s="16"/>
      <c r="I210" s="4"/>
      <c r="J210" s="4" t="b">
        <v>0</v>
      </c>
      <c r="K210" s="4" t="b">
        <v>0</v>
      </c>
      <c r="L210" s="1"/>
      <c r="M210" s="6"/>
      <c r="N210" s="1" t="s">
        <v>579</v>
      </c>
      <c r="O210" s="1"/>
      <c r="P210" s="1"/>
      <c r="Q210" s="1"/>
      <c r="R210" s="1"/>
      <c r="S210" s="1"/>
      <c r="T210" s="1"/>
      <c r="U210" s="1"/>
      <c r="V210" s="1"/>
      <c r="W210" s="1"/>
      <c r="X210" s="1"/>
      <c r="Y210" s="1"/>
      <c r="Z210" s="1"/>
      <c r="AA210" s="1"/>
      <c r="AB210" s="1"/>
    </row>
    <row r="211" hidden="1" outlineLevel="1">
      <c r="A211" s="1" t="s">
        <v>507</v>
      </c>
      <c r="B211" s="1" t="s">
        <v>520</v>
      </c>
      <c r="C211" s="4" t="s">
        <v>580</v>
      </c>
      <c r="D211" s="1" t="s">
        <v>581</v>
      </c>
      <c r="E211" s="2" t="s">
        <v>582</v>
      </c>
      <c r="F211" s="1" t="s">
        <v>583</v>
      </c>
      <c r="G211" s="7" t="s">
        <v>584</v>
      </c>
      <c r="H211" s="16"/>
      <c r="I211" s="4"/>
      <c r="J211" s="4" t="b">
        <v>0</v>
      </c>
      <c r="K211" s="4" t="b">
        <v>0</v>
      </c>
      <c r="L211" s="1"/>
      <c r="M211" s="6"/>
      <c r="N211" s="1"/>
      <c r="O211" s="1"/>
      <c r="P211" s="1"/>
      <c r="Q211" s="1"/>
      <c r="R211" s="1"/>
      <c r="S211" s="1"/>
      <c r="T211" s="1"/>
      <c r="U211" s="1"/>
      <c r="V211" s="1"/>
      <c r="W211" s="1"/>
      <c r="X211" s="1"/>
      <c r="Y211" s="1"/>
      <c r="Z211" s="1"/>
      <c r="AA211" s="1"/>
      <c r="AB211" s="1"/>
    </row>
    <row r="212" hidden="1" outlineLevel="1">
      <c r="A212" s="1" t="s">
        <v>519</v>
      </c>
      <c r="B212" s="1" t="s">
        <v>569</v>
      </c>
      <c r="C212" s="1" t="s">
        <v>585</v>
      </c>
      <c r="D212" s="1" t="s">
        <v>586</v>
      </c>
      <c r="E212" s="27"/>
      <c r="F212" s="1" t="s">
        <v>587</v>
      </c>
      <c r="G212" s="7" t="s">
        <v>588</v>
      </c>
      <c r="H212" s="9" t="s">
        <v>589</v>
      </c>
      <c r="I212" s="4"/>
      <c r="J212" s="4" t="b">
        <v>0</v>
      </c>
      <c r="K212" s="4" t="b">
        <v>0</v>
      </c>
      <c r="L212" s="1"/>
      <c r="M212" s="6"/>
      <c r="N212" s="1"/>
      <c r="O212" s="1"/>
      <c r="P212" s="1"/>
      <c r="Q212" s="1"/>
      <c r="R212" s="1"/>
      <c r="S212" s="1"/>
      <c r="T212" s="1"/>
      <c r="U212" s="1"/>
      <c r="V212" s="1"/>
      <c r="W212" s="1"/>
      <c r="X212" s="1"/>
      <c r="Y212" s="1"/>
      <c r="Z212" s="1"/>
      <c r="AA212" s="1"/>
      <c r="AB212" s="1"/>
    </row>
    <row r="213" hidden="1" outlineLevel="1">
      <c r="A213" s="1" t="s">
        <v>507</v>
      </c>
      <c r="B213" s="1" t="s">
        <v>520</v>
      </c>
      <c r="C213" s="1" t="s">
        <v>590</v>
      </c>
      <c r="D213" s="30" t="s">
        <v>591</v>
      </c>
      <c r="E213" s="27"/>
      <c r="F213" s="1" t="s">
        <v>592</v>
      </c>
      <c r="G213" s="7" t="s">
        <v>593</v>
      </c>
      <c r="H213" s="16"/>
      <c r="I213" s="4"/>
      <c r="J213" s="4" t="b">
        <v>0</v>
      </c>
      <c r="K213" s="4" t="b">
        <v>0</v>
      </c>
      <c r="L213" s="1"/>
      <c r="M213" s="6"/>
      <c r="N213" s="1"/>
      <c r="O213" s="1"/>
      <c r="P213" s="1"/>
      <c r="Q213" s="1"/>
      <c r="R213" s="1"/>
      <c r="S213" s="1"/>
      <c r="T213" s="1"/>
      <c r="U213" s="1"/>
      <c r="V213" s="1"/>
      <c r="W213" s="1"/>
      <c r="X213" s="1"/>
      <c r="Y213" s="1"/>
      <c r="Z213" s="1"/>
      <c r="AA213" s="1"/>
      <c r="AB213" s="1"/>
    </row>
    <row r="214" hidden="1" outlineLevel="1">
      <c r="A214" s="1" t="s">
        <v>519</v>
      </c>
      <c r="B214" s="1" t="s">
        <v>594</v>
      </c>
      <c r="C214" s="1" t="s">
        <v>595</v>
      </c>
      <c r="D214" s="1" t="s">
        <v>596</v>
      </c>
      <c r="E214" s="26">
        <v>45406.0</v>
      </c>
      <c r="F214" s="1" t="s">
        <v>597</v>
      </c>
      <c r="G214" s="7" t="s">
        <v>598</v>
      </c>
      <c r="H214" s="16"/>
      <c r="I214" s="4"/>
      <c r="J214" s="4" t="b">
        <v>0</v>
      </c>
      <c r="K214" s="4" t="b">
        <v>0</v>
      </c>
      <c r="L214" s="1"/>
      <c r="M214" s="6"/>
      <c r="N214" s="1"/>
      <c r="O214" s="1"/>
      <c r="P214" s="1"/>
      <c r="Q214" s="1"/>
      <c r="R214" s="1"/>
      <c r="S214" s="1"/>
      <c r="T214" s="1"/>
      <c r="U214" s="1"/>
      <c r="V214" s="1"/>
      <c r="W214" s="1"/>
      <c r="X214" s="1"/>
      <c r="Y214" s="1"/>
      <c r="Z214" s="1"/>
      <c r="AA214" s="1"/>
      <c r="AB214" s="1"/>
    </row>
    <row r="215" hidden="1" outlineLevel="1">
      <c r="A215" s="1" t="s">
        <v>507</v>
      </c>
      <c r="B215" s="1" t="s">
        <v>599</v>
      </c>
      <c r="C215" s="1" t="s">
        <v>600</v>
      </c>
      <c r="D215" s="1" t="s">
        <v>601</v>
      </c>
      <c r="E215" s="27">
        <v>45406.0</v>
      </c>
      <c r="F215" s="1" t="s">
        <v>602</v>
      </c>
      <c r="G215" s="7" t="s">
        <v>603</v>
      </c>
      <c r="H215" s="16"/>
      <c r="I215" s="4"/>
      <c r="J215" s="4" t="b">
        <v>0</v>
      </c>
      <c r="K215" s="4" t="b">
        <v>0</v>
      </c>
      <c r="L215" s="1"/>
      <c r="M215" s="6"/>
      <c r="N215" s="1"/>
      <c r="O215" s="1"/>
      <c r="P215" s="1"/>
      <c r="Q215" s="1"/>
      <c r="R215" s="1"/>
      <c r="S215" s="1"/>
      <c r="T215" s="1"/>
      <c r="U215" s="1"/>
      <c r="V215" s="1"/>
      <c r="W215" s="1"/>
      <c r="X215" s="1"/>
      <c r="Y215" s="1"/>
      <c r="Z215" s="1"/>
      <c r="AA215" s="1"/>
      <c r="AB215" s="1"/>
    </row>
    <row r="216" hidden="1" outlineLevel="1">
      <c r="A216" s="1" t="s">
        <v>507</v>
      </c>
      <c r="B216" s="1" t="s">
        <v>537</v>
      </c>
      <c r="C216" s="1" t="s">
        <v>604</v>
      </c>
      <c r="D216" s="1" t="s">
        <v>605</v>
      </c>
      <c r="E216" s="27">
        <v>45406.0</v>
      </c>
      <c r="F216" s="1" t="s">
        <v>606</v>
      </c>
      <c r="G216" s="7" t="s">
        <v>607</v>
      </c>
      <c r="H216" s="16"/>
      <c r="I216" s="4"/>
      <c r="J216" s="4" t="b">
        <v>0</v>
      </c>
      <c r="K216" s="4" t="b">
        <v>0</v>
      </c>
      <c r="L216" s="1"/>
      <c r="M216" s="6"/>
      <c r="N216" s="1"/>
      <c r="O216" s="1"/>
      <c r="P216" s="1"/>
      <c r="Q216" s="1"/>
      <c r="R216" s="1"/>
      <c r="S216" s="1"/>
      <c r="T216" s="1"/>
      <c r="U216" s="1"/>
      <c r="V216" s="1"/>
      <c r="W216" s="1"/>
      <c r="X216" s="1"/>
      <c r="Y216" s="1"/>
      <c r="Z216" s="1"/>
      <c r="AA216" s="1"/>
      <c r="AB216" s="1"/>
    </row>
    <row r="217" hidden="1" outlineLevel="1">
      <c r="A217" s="1" t="s">
        <v>519</v>
      </c>
      <c r="B217" s="1" t="s">
        <v>537</v>
      </c>
      <c r="C217" s="1" t="s">
        <v>608</v>
      </c>
      <c r="D217" s="1" t="s">
        <v>609</v>
      </c>
      <c r="E217" s="27">
        <v>44677.0</v>
      </c>
      <c r="F217" s="1" t="s">
        <v>610</v>
      </c>
      <c r="G217" s="7" t="s">
        <v>611</v>
      </c>
      <c r="H217" s="16"/>
      <c r="I217" s="4"/>
      <c r="J217" s="4" t="b">
        <v>0</v>
      </c>
      <c r="K217" s="4" t="b">
        <v>0</v>
      </c>
      <c r="L217" s="1"/>
      <c r="M217" s="6"/>
      <c r="N217" s="1" t="s">
        <v>612</v>
      </c>
      <c r="O217" s="1"/>
      <c r="P217" s="1"/>
      <c r="Q217" s="1"/>
      <c r="R217" s="1"/>
      <c r="S217" s="1"/>
      <c r="T217" s="1"/>
      <c r="U217" s="1"/>
      <c r="V217" s="1"/>
      <c r="W217" s="1"/>
      <c r="X217" s="1"/>
      <c r="Y217" s="1"/>
      <c r="Z217" s="1"/>
      <c r="AA217" s="1"/>
      <c r="AB217" s="1"/>
    </row>
    <row r="218" collapsed="1">
      <c r="A218" s="1"/>
      <c r="B218" s="1"/>
      <c r="C218" s="1"/>
      <c r="D218" s="31"/>
      <c r="E218" s="28" t="s">
        <v>613</v>
      </c>
      <c r="F218" s="1"/>
      <c r="G218" s="5"/>
      <c r="H218" s="16"/>
      <c r="I218" s="4"/>
      <c r="J218" s="4" t="b">
        <v>0</v>
      </c>
      <c r="K218" s="4" t="b">
        <v>0</v>
      </c>
      <c r="L218" s="1"/>
      <c r="M218" s="6"/>
      <c r="N218" s="1"/>
      <c r="O218" s="1"/>
      <c r="P218" s="1"/>
      <c r="Q218" s="1"/>
      <c r="R218" s="1"/>
      <c r="S218" s="1"/>
      <c r="T218" s="1"/>
      <c r="U218" s="1"/>
      <c r="V218" s="1"/>
      <c r="W218" s="1"/>
      <c r="X218" s="1"/>
      <c r="Y218" s="1"/>
      <c r="Z218" s="1"/>
      <c r="AA218" s="1"/>
      <c r="AB218" s="1"/>
    </row>
    <row r="219" hidden="1" outlineLevel="1">
      <c r="A219" s="1" t="s">
        <v>507</v>
      </c>
      <c r="B219" s="1" t="s">
        <v>529</v>
      </c>
      <c r="C219" s="1" t="s">
        <v>614</v>
      </c>
      <c r="D219" s="31" t="s">
        <v>615</v>
      </c>
      <c r="E219" s="27">
        <v>45418.0</v>
      </c>
      <c r="F219" s="1" t="s">
        <v>616</v>
      </c>
      <c r="G219" s="7" t="s">
        <v>617</v>
      </c>
      <c r="H219" s="16"/>
      <c r="I219" s="4"/>
      <c r="J219" s="4" t="b">
        <v>0</v>
      </c>
      <c r="K219" s="4" t="b">
        <v>0</v>
      </c>
      <c r="L219" s="1"/>
      <c r="M219" s="6"/>
      <c r="N219" s="1"/>
      <c r="O219" s="1"/>
      <c r="P219" s="1"/>
      <c r="Q219" s="1"/>
      <c r="R219" s="1"/>
      <c r="S219" s="1"/>
      <c r="T219" s="1"/>
      <c r="U219" s="1"/>
      <c r="V219" s="1"/>
      <c r="W219" s="1"/>
      <c r="X219" s="1"/>
      <c r="Y219" s="1"/>
      <c r="Z219" s="1"/>
      <c r="AA219" s="1"/>
      <c r="AB219" s="1"/>
    </row>
    <row r="220" hidden="1" outlineLevel="1">
      <c r="A220" s="1" t="s">
        <v>507</v>
      </c>
      <c r="B220" s="1" t="s">
        <v>529</v>
      </c>
      <c r="C220" s="32" t="s">
        <v>618</v>
      </c>
      <c r="D220" s="31" t="s">
        <v>619</v>
      </c>
      <c r="E220" s="27">
        <v>45401.0</v>
      </c>
      <c r="F220" s="1" t="s">
        <v>620</v>
      </c>
      <c r="G220" s="7" t="s">
        <v>621</v>
      </c>
      <c r="H220" s="16"/>
      <c r="I220" s="4"/>
      <c r="J220" s="4" t="b">
        <v>0</v>
      </c>
      <c r="K220" s="4" t="b">
        <v>0</v>
      </c>
      <c r="L220" s="1"/>
      <c r="M220" s="6"/>
      <c r="N220" s="1"/>
      <c r="O220" s="1"/>
      <c r="P220" s="1"/>
      <c r="Q220" s="1"/>
      <c r="R220" s="1"/>
      <c r="S220" s="1"/>
      <c r="T220" s="1"/>
      <c r="U220" s="1"/>
      <c r="V220" s="1"/>
      <c r="W220" s="1"/>
      <c r="X220" s="1"/>
      <c r="Y220" s="1"/>
      <c r="Z220" s="1"/>
      <c r="AA220" s="1"/>
      <c r="AB220" s="1"/>
    </row>
    <row r="221" hidden="1" outlineLevel="1">
      <c r="A221" s="1" t="s">
        <v>519</v>
      </c>
      <c r="B221" s="1" t="s">
        <v>537</v>
      </c>
      <c r="C221" s="1" t="s">
        <v>622</v>
      </c>
      <c r="D221" s="1" t="s">
        <v>623</v>
      </c>
      <c r="E221" s="33">
        <v>45400.0</v>
      </c>
      <c r="F221" s="1" t="s">
        <v>624</v>
      </c>
      <c r="G221" s="7" t="s">
        <v>625</v>
      </c>
      <c r="H221" s="16"/>
      <c r="I221" s="4"/>
      <c r="J221" s="4" t="b">
        <v>0</v>
      </c>
      <c r="K221" s="4" t="b">
        <v>0</v>
      </c>
      <c r="L221" s="1"/>
      <c r="M221" s="6"/>
      <c r="N221" s="1"/>
      <c r="O221" s="1"/>
      <c r="P221" s="1"/>
      <c r="Q221" s="1"/>
      <c r="R221" s="1"/>
      <c r="S221" s="1"/>
      <c r="T221" s="1"/>
      <c r="U221" s="1"/>
      <c r="V221" s="1"/>
      <c r="W221" s="1"/>
      <c r="X221" s="1"/>
      <c r="Y221" s="1"/>
      <c r="Z221" s="1"/>
      <c r="AA221" s="1"/>
      <c r="AB221" s="1"/>
    </row>
    <row r="222" hidden="1" outlineLevel="1">
      <c r="A222" s="1" t="s">
        <v>519</v>
      </c>
      <c r="B222" s="1" t="s">
        <v>537</v>
      </c>
      <c r="C222" s="1" t="s">
        <v>622</v>
      </c>
      <c r="D222" s="34" t="s">
        <v>626</v>
      </c>
      <c r="E222" s="27">
        <v>45405.0</v>
      </c>
      <c r="F222" s="34" t="s">
        <v>627</v>
      </c>
      <c r="G222" s="7" t="s">
        <v>628</v>
      </c>
      <c r="H222" s="16"/>
      <c r="I222" s="4"/>
      <c r="J222" s="4" t="b">
        <v>0</v>
      </c>
      <c r="K222" s="4" t="b">
        <v>0</v>
      </c>
      <c r="L222" s="1"/>
      <c r="M222" s="6"/>
      <c r="N222" s="1"/>
      <c r="O222" s="1"/>
      <c r="P222" s="1"/>
      <c r="Q222" s="1"/>
      <c r="R222" s="1"/>
      <c r="S222" s="1"/>
      <c r="T222" s="1"/>
      <c r="U222" s="1"/>
      <c r="V222" s="1"/>
      <c r="W222" s="1"/>
      <c r="X222" s="1"/>
      <c r="Y222" s="1"/>
      <c r="Z222" s="1"/>
      <c r="AA222" s="1"/>
      <c r="AB222" s="1"/>
    </row>
    <row r="223" hidden="1" outlineLevel="1">
      <c r="A223" s="35" t="s">
        <v>507</v>
      </c>
      <c r="B223" s="35" t="s">
        <v>520</v>
      </c>
      <c r="C223" s="35" t="s">
        <v>629</v>
      </c>
      <c r="D223" s="36" t="s">
        <v>630</v>
      </c>
      <c r="E223" s="37">
        <v>45406.0</v>
      </c>
      <c r="F223" s="38" t="s">
        <v>631</v>
      </c>
      <c r="G223" s="39" t="s">
        <v>632</v>
      </c>
      <c r="H223" s="40" t="s">
        <v>633</v>
      </c>
      <c r="I223" s="41"/>
      <c r="J223" s="41" t="b">
        <v>0</v>
      </c>
      <c r="K223" s="41" t="b">
        <v>0</v>
      </c>
      <c r="L223" s="35"/>
      <c r="M223" s="42"/>
      <c r="N223" s="35"/>
      <c r="O223" s="35"/>
      <c r="P223" s="35"/>
      <c r="Q223" s="35"/>
      <c r="R223" s="35"/>
      <c r="S223" s="35"/>
      <c r="T223" s="35"/>
      <c r="U223" s="35"/>
      <c r="V223" s="35"/>
      <c r="W223" s="35"/>
      <c r="X223" s="35"/>
      <c r="Y223" s="35"/>
      <c r="Z223" s="35"/>
      <c r="AA223" s="35"/>
      <c r="AB223" s="35"/>
    </row>
    <row r="224" hidden="1" outlineLevel="1">
      <c r="A224" s="1" t="s">
        <v>519</v>
      </c>
      <c r="B224" s="1" t="s">
        <v>508</v>
      </c>
      <c r="C224" s="1" t="s">
        <v>634</v>
      </c>
      <c r="D224" s="43" t="s">
        <v>635</v>
      </c>
      <c r="E224" s="27">
        <v>45398.0</v>
      </c>
      <c r="F224" s="34" t="s">
        <v>636</v>
      </c>
      <c r="G224" s="7" t="s">
        <v>637</v>
      </c>
      <c r="H224" s="9" t="s">
        <v>638</v>
      </c>
      <c r="I224" s="4"/>
      <c r="J224" s="4" t="b">
        <v>0</v>
      </c>
      <c r="K224" s="4" t="b">
        <v>0</v>
      </c>
      <c r="L224" s="1"/>
      <c r="M224" s="6"/>
      <c r="N224" s="1"/>
      <c r="O224" s="1"/>
      <c r="P224" s="1"/>
      <c r="Q224" s="1"/>
      <c r="R224" s="1"/>
      <c r="S224" s="1"/>
      <c r="T224" s="1"/>
      <c r="U224" s="1"/>
      <c r="V224" s="1"/>
      <c r="W224" s="1"/>
      <c r="X224" s="1"/>
      <c r="Y224" s="1"/>
      <c r="Z224" s="1"/>
      <c r="AA224" s="1"/>
      <c r="AB224" s="1"/>
    </row>
    <row r="225" hidden="1" outlineLevel="1">
      <c r="A225" s="1" t="s">
        <v>507</v>
      </c>
      <c r="B225" s="1" t="s">
        <v>594</v>
      </c>
      <c r="C225" s="1" t="s">
        <v>639</v>
      </c>
      <c r="D225" s="1" t="s">
        <v>640</v>
      </c>
      <c r="E225" s="27">
        <v>45406.0</v>
      </c>
      <c r="F225" s="1" t="s">
        <v>641</v>
      </c>
      <c r="G225" s="7" t="s">
        <v>642</v>
      </c>
      <c r="H225" s="16"/>
      <c r="I225" s="4"/>
      <c r="J225" s="4" t="b">
        <v>0</v>
      </c>
      <c r="K225" s="4" t="b">
        <v>0</v>
      </c>
      <c r="L225" s="1"/>
      <c r="M225" s="6"/>
      <c r="N225" s="1"/>
      <c r="O225" s="1"/>
      <c r="P225" s="1"/>
      <c r="Q225" s="1"/>
      <c r="R225" s="1"/>
      <c r="S225" s="1"/>
      <c r="T225" s="1"/>
      <c r="U225" s="1"/>
      <c r="V225" s="1"/>
      <c r="W225" s="1"/>
      <c r="X225" s="1"/>
      <c r="Y225" s="1"/>
      <c r="Z225" s="1"/>
      <c r="AA225" s="1"/>
      <c r="AB225" s="1"/>
    </row>
    <row r="226" hidden="1" outlineLevel="1">
      <c r="A226" s="1" t="s">
        <v>507</v>
      </c>
      <c r="B226" s="1" t="s">
        <v>594</v>
      </c>
      <c r="C226" s="1" t="s">
        <v>643</v>
      </c>
      <c r="D226" s="24" t="s">
        <v>644</v>
      </c>
      <c r="E226" s="27">
        <v>45405.0</v>
      </c>
      <c r="F226" s="1" t="s">
        <v>645</v>
      </c>
      <c r="G226" s="7" t="s">
        <v>646</v>
      </c>
      <c r="H226" s="16"/>
      <c r="I226" s="4"/>
      <c r="J226" s="4" t="b">
        <v>0</v>
      </c>
      <c r="K226" s="4" t="b">
        <v>0</v>
      </c>
      <c r="L226" s="1"/>
      <c r="M226" s="6"/>
      <c r="N226" s="1" t="s">
        <v>647</v>
      </c>
      <c r="O226" s="1"/>
      <c r="P226" s="1"/>
      <c r="Q226" s="1"/>
      <c r="R226" s="1"/>
      <c r="S226" s="1"/>
      <c r="T226" s="1"/>
      <c r="U226" s="1"/>
      <c r="V226" s="1"/>
      <c r="W226" s="1"/>
      <c r="X226" s="1"/>
      <c r="Y226" s="1"/>
      <c r="Z226" s="1"/>
      <c r="AA226" s="1"/>
      <c r="AB226" s="1"/>
    </row>
    <row r="227" hidden="1" outlineLevel="1">
      <c r="A227" s="1" t="s">
        <v>507</v>
      </c>
      <c r="B227" s="1" t="s">
        <v>594</v>
      </c>
      <c r="C227" s="1" t="s">
        <v>648</v>
      </c>
      <c r="D227" s="24" t="s">
        <v>649</v>
      </c>
      <c r="E227" s="27">
        <v>45407.0</v>
      </c>
      <c r="F227" s="1" t="s">
        <v>650</v>
      </c>
      <c r="G227" s="7" t="s">
        <v>651</v>
      </c>
      <c r="H227" s="16"/>
      <c r="I227" s="4"/>
      <c r="J227" s="4" t="b">
        <v>0</v>
      </c>
      <c r="K227" s="4" t="b">
        <v>0</v>
      </c>
      <c r="L227" s="1"/>
      <c r="M227" s="6"/>
      <c r="N227" s="1" t="s">
        <v>652</v>
      </c>
      <c r="O227" s="1"/>
      <c r="P227" s="1"/>
      <c r="Q227" s="1"/>
      <c r="R227" s="1"/>
      <c r="S227" s="1"/>
      <c r="T227" s="1"/>
      <c r="U227" s="1"/>
      <c r="V227" s="1"/>
      <c r="W227" s="1"/>
      <c r="X227" s="1"/>
      <c r="Y227" s="1"/>
      <c r="Z227" s="1"/>
      <c r="AA227" s="1"/>
      <c r="AB227" s="1"/>
    </row>
    <row r="228" hidden="1" outlineLevel="1">
      <c r="A228" s="1" t="s">
        <v>507</v>
      </c>
      <c r="B228" s="1" t="s">
        <v>537</v>
      </c>
      <c r="C228" s="1" t="s">
        <v>653</v>
      </c>
      <c r="D228" s="24" t="s">
        <v>654</v>
      </c>
      <c r="E228" s="27">
        <v>45406.0</v>
      </c>
      <c r="F228" s="1" t="s">
        <v>655</v>
      </c>
      <c r="G228" s="7" t="s">
        <v>656</v>
      </c>
      <c r="H228" s="16"/>
      <c r="I228" s="4"/>
      <c r="J228" s="4" t="b">
        <v>0</v>
      </c>
      <c r="K228" s="4" t="b">
        <v>0</v>
      </c>
      <c r="L228" s="1"/>
      <c r="M228" s="6"/>
      <c r="N228" s="1"/>
      <c r="O228" s="1"/>
      <c r="P228" s="1"/>
      <c r="Q228" s="1"/>
      <c r="R228" s="1"/>
      <c r="S228" s="1"/>
      <c r="T228" s="1"/>
      <c r="U228" s="1"/>
      <c r="V228" s="1"/>
      <c r="W228" s="1"/>
      <c r="X228" s="1"/>
      <c r="Y228" s="1"/>
      <c r="Z228" s="1"/>
      <c r="AA228" s="1"/>
      <c r="AB228" s="1"/>
    </row>
    <row r="229" hidden="1" outlineLevel="1">
      <c r="A229" s="1" t="s">
        <v>574</v>
      </c>
      <c r="B229" s="1" t="s">
        <v>529</v>
      </c>
      <c r="C229" s="1" t="s">
        <v>657</v>
      </c>
      <c r="D229" s="31" t="s">
        <v>658</v>
      </c>
      <c r="E229" s="27">
        <v>45433.0</v>
      </c>
      <c r="F229" s="31" t="s">
        <v>659</v>
      </c>
      <c r="G229" s="7" t="s">
        <v>660</v>
      </c>
      <c r="H229" s="16"/>
      <c r="I229" s="4"/>
      <c r="J229" s="4" t="b">
        <v>0</v>
      </c>
      <c r="K229" s="4" t="b">
        <v>0</v>
      </c>
      <c r="L229" s="1"/>
      <c r="M229" s="6"/>
      <c r="N229" s="1"/>
      <c r="O229" s="1"/>
      <c r="P229" s="1"/>
      <c r="Q229" s="1"/>
      <c r="R229" s="1"/>
      <c r="S229" s="1"/>
      <c r="T229" s="1"/>
      <c r="U229" s="1"/>
      <c r="V229" s="1"/>
      <c r="W229" s="1"/>
      <c r="X229" s="1"/>
      <c r="Y229" s="1"/>
      <c r="Z229" s="1"/>
      <c r="AA229" s="1"/>
      <c r="AB229" s="1"/>
    </row>
    <row r="230" hidden="1" outlineLevel="1">
      <c r="A230" s="1" t="s">
        <v>507</v>
      </c>
      <c r="B230" s="1" t="s">
        <v>529</v>
      </c>
      <c r="C230" s="1" t="s">
        <v>661</v>
      </c>
      <c r="D230" s="31" t="s">
        <v>662</v>
      </c>
      <c r="E230" s="27">
        <v>45433.0</v>
      </c>
      <c r="F230" s="1" t="s">
        <v>663</v>
      </c>
      <c r="G230" s="7" t="s">
        <v>664</v>
      </c>
      <c r="H230" s="16"/>
      <c r="I230" s="4"/>
      <c r="J230" s="4" t="b">
        <v>0</v>
      </c>
      <c r="K230" s="4" t="b">
        <v>0</v>
      </c>
      <c r="L230" s="1"/>
      <c r="M230" s="6"/>
      <c r="N230" s="1"/>
      <c r="O230" s="1"/>
      <c r="P230" s="1"/>
      <c r="Q230" s="1"/>
      <c r="R230" s="1"/>
      <c r="S230" s="1"/>
      <c r="T230" s="1"/>
      <c r="U230" s="1"/>
      <c r="V230" s="1"/>
      <c r="W230" s="1"/>
      <c r="X230" s="1"/>
      <c r="Y230" s="1"/>
      <c r="Z230" s="1"/>
      <c r="AA230" s="1"/>
      <c r="AB230" s="1"/>
    </row>
    <row r="231" hidden="1" outlineLevel="1">
      <c r="A231" s="1" t="s">
        <v>507</v>
      </c>
      <c r="B231" s="1" t="s">
        <v>520</v>
      </c>
      <c r="C231" s="1" t="s">
        <v>665</v>
      </c>
      <c r="D231" s="31" t="s">
        <v>666</v>
      </c>
      <c r="E231" s="27">
        <v>45433.0</v>
      </c>
      <c r="F231" s="34" t="s">
        <v>667</v>
      </c>
      <c r="G231" s="7" t="s">
        <v>668</v>
      </c>
      <c r="H231" s="16"/>
      <c r="I231" s="4"/>
      <c r="J231" s="4" t="b">
        <v>0</v>
      </c>
      <c r="K231" s="4" t="b">
        <v>0</v>
      </c>
      <c r="L231" s="1"/>
      <c r="M231" s="6"/>
      <c r="N231" s="1" t="s">
        <v>669</v>
      </c>
      <c r="O231" s="1"/>
      <c r="P231" s="1"/>
      <c r="Q231" s="1"/>
      <c r="R231" s="1"/>
      <c r="S231" s="1"/>
      <c r="T231" s="1"/>
      <c r="U231" s="1"/>
      <c r="V231" s="1"/>
      <c r="W231" s="1"/>
      <c r="X231" s="1"/>
      <c r="Y231" s="1"/>
      <c r="Z231" s="1"/>
      <c r="AA231" s="1"/>
      <c r="AB231" s="1"/>
    </row>
    <row r="232" hidden="1" outlineLevel="1">
      <c r="A232" s="1" t="s">
        <v>507</v>
      </c>
      <c r="B232" s="1" t="s">
        <v>529</v>
      </c>
      <c r="C232" s="1" t="s">
        <v>670</v>
      </c>
      <c r="D232" s="1" t="s">
        <v>671</v>
      </c>
      <c r="E232" s="27">
        <v>45408.0</v>
      </c>
      <c r="F232" s="1" t="s">
        <v>672</v>
      </c>
      <c r="G232" s="7" t="s">
        <v>673</v>
      </c>
      <c r="H232" s="16"/>
      <c r="I232" s="4"/>
      <c r="J232" s="4" t="b">
        <v>0</v>
      </c>
      <c r="K232" s="4" t="b">
        <v>0</v>
      </c>
      <c r="L232" s="1"/>
      <c r="M232" s="6"/>
      <c r="N232" s="1" t="s">
        <v>674</v>
      </c>
      <c r="O232" s="1"/>
      <c r="P232" s="1"/>
      <c r="Q232" s="1"/>
      <c r="R232" s="1"/>
      <c r="S232" s="1"/>
      <c r="T232" s="1"/>
      <c r="U232" s="1"/>
      <c r="V232" s="1"/>
      <c r="W232" s="1"/>
      <c r="X232" s="1"/>
      <c r="Y232" s="1"/>
      <c r="Z232" s="1"/>
      <c r="AA232" s="1"/>
      <c r="AB232" s="1"/>
    </row>
    <row r="233" collapsed="1">
      <c r="A233" s="1"/>
      <c r="B233" s="1"/>
      <c r="C233" s="1"/>
      <c r="D233" s="34"/>
      <c r="E233" s="28" t="s">
        <v>675</v>
      </c>
      <c r="F233" s="1"/>
      <c r="G233" s="5"/>
      <c r="H233" s="44"/>
      <c r="I233" s="4"/>
      <c r="J233" s="4" t="b">
        <v>0</v>
      </c>
      <c r="K233" s="4" t="b">
        <v>0</v>
      </c>
      <c r="L233" s="1"/>
      <c r="M233" s="6"/>
      <c r="N233" s="1"/>
      <c r="O233" s="1"/>
      <c r="P233" s="1"/>
      <c r="Q233" s="1"/>
      <c r="R233" s="1"/>
      <c r="S233" s="1"/>
      <c r="T233" s="1"/>
      <c r="U233" s="1"/>
      <c r="V233" s="1"/>
      <c r="W233" s="1"/>
      <c r="X233" s="1"/>
      <c r="Y233" s="1"/>
      <c r="Z233" s="1"/>
      <c r="AA233" s="1"/>
      <c r="AB233" s="1"/>
    </row>
    <row r="234" hidden="1" outlineLevel="1">
      <c r="A234" s="1" t="s">
        <v>519</v>
      </c>
      <c r="B234" s="1" t="s">
        <v>520</v>
      </c>
      <c r="C234" s="1" t="s">
        <v>676</v>
      </c>
      <c r="D234" s="34" t="s">
        <v>677</v>
      </c>
      <c r="E234" s="27">
        <v>45411.0</v>
      </c>
      <c r="F234" s="1" t="s">
        <v>678</v>
      </c>
      <c r="G234" s="7" t="s">
        <v>679</v>
      </c>
      <c r="H234" s="44"/>
      <c r="I234" s="4"/>
      <c r="J234" s="4" t="b">
        <v>0</v>
      </c>
      <c r="K234" s="4" t="b">
        <v>0</v>
      </c>
      <c r="L234" s="1"/>
      <c r="M234" s="6"/>
      <c r="N234" s="1"/>
      <c r="O234" s="1"/>
      <c r="P234" s="1"/>
      <c r="Q234" s="1"/>
      <c r="R234" s="1"/>
      <c r="S234" s="1"/>
      <c r="T234" s="1"/>
      <c r="U234" s="1"/>
      <c r="V234" s="1"/>
      <c r="W234" s="1"/>
      <c r="X234" s="1"/>
      <c r="Y234" s="1"/>
      <c r="Z234" s="1"/>
      <c r="AA234" s="1"/>
      <c r="AB234" s="1"/>
    </row>
    <row r="235" hidden="1" outlineLevel="1">
      <c r="A235" s="1" t="s">
        <v>507</v>
      </c>
      <c r="B235" s="1" t="s">
        <v>680</v>
      </c>
      <c r="C235" s="1" t="s">
        <v>681</v>
      </c>
      <c r="D235" s="17" t="s">
        <v>682</v>
      </c>
      <c r="E235" s="27">
        <v>45393.0</v>
      </c>
      <c r="F235" s="1" t="s">
        <v>683</v>
      </c>
      <c r="G235" s="7" t="s">
        <v>684</v>
      </c>
      <c r="H235" s="9" t="s">
        <v>685</v>
      </c>
      <c r="I235" s="4"/>
      <c r="J235" s="4" t="b">
        <v>0</v>
      </c>
      <c r="K235" s="4" t="b">
        <v>0</v>
      </c>
      <c r="L235" s="1"/>
      <c r="M235" s="6"/>
      <c r="N235" s="1"/>
      <c r="O235" s="1"/>
      <c r="P235" s="1"/>
      <c r="Q235" s="1"/>
      <c r="R235" s="1"/>
      <c r="S235" s="1"/>
      <c r="T235" s="1"/>
      <c r="U235" s="1"/>
      <c r="V235" s="1"/>
      <c r="W235" s="1"/>
      <c r="X235" s="1"/>
      <c r="Y235" s="1"/>
      <c r="Z235" s="1"/>
      <c r="AA235" s="1"/>
      <c r="AB235" s="1"/>
    </row>
    <row r="236" hidden="1" outlineLevel="1">
      <c r="A236" s="1" t="s">
        <v>507</v>
      </c>
      <c r="B236" s="1" t="s">
        <v>599</v>
      </c>
      <c r="C236" s="1" t="s">
        <v>681</v>
      </c>
      <c r="D236" s="1" t="s">
        <v>686</v>
      </c>
      <c r="E236" s="27">
        <v>45313.0</v>
      </c>
      <c r="F236" s="1" t="s">
        <v>687</v>
      </c>
      <c r="G236" s="7" t="s">
        <v>688</v>
      </c>
      <c r="H236" s="16"/>
      <c r="I236" s="4"/>
      <c r="J236" s="4" t="b">
        <v>0</v>
      </c>
      <c r="K236" s="4" t="b">
        <v>0</v>
      </c>
      <c r="L236" s="1"/>
      <c r="M236" s="6"/>
      <c r="N236" s="1"/>
      <c r="O236" s="1"/>
      <c r="P236" s="1"/>
      <c r="Q236" s="1"/>
      <c r="R236" s="1"/>
      <c r="S236" s="1"/>
      <c r="T236" s="1"/>
      <c r="U236" s="1"/>
      <c r="V236" s="1"/>
      <c r="W236" s="1"/>
      <c r="X236" s="1"/>
      <c r="Y236" s="1"/>
      <c r="Z236" s="1"/>
      <c r="AA236" s="1"/>
      <c r="AB236" s="1"/>
    </row>
    <row r="237" hidden="1" outlineLevel="1">
      <c r="A237" s="1" t="s">
        <v>519</v>
      </c>
      <c r="B237" s="1" t="s">
        <v>508</v>
      </c>
      <c r="C237" s="1" t="s">
        <v>509</v>
      </c>
      <c r="D237" s="45" t="s">
        <v>689</v>
      </c>
      <c r="E237" s="27">
        <v>45441.0</v>
      </c>
      <c r="F237" s="1" t="s">
        <v>690</v>
      </c>
      <c r="G237" s="7" t="s">
        <v>691</v>
      </c>
      <c r="H237" s="9" t="s">
        <v>691</v>
      </c>
      <c r="I237" s="4"/>
      <c r="J237" s="4" t="b">
        <v>0</v>
      </c>
      <c r="K237" s="4" t="b">
        <v>0</v>
      </c>
      <c r="L237" s="1"/>
      <c r="M237" s="6"/>
      <c r="N237" s="1"/>
      <c r="O237" s="1"/>
      <c r="P237" s="1"/>
      <c r="Q237" s="1"/>
      <c r="R237" s="1"/>
      <c r="S237" s="1"/>
      <c r="T237" s="1"/>
      <c r="U237" s="1"/>
      <c r="V237" s="1"/>
      <c r="W237" s="1"/>
      <c r="X237" s="1"/>
      <c r="Y237" s="1"/>
      <c r="Z237" s="1"/>
      <c r="AA237" s="1"/>
      <c r="AB237" s="1"/>
    </row>
    <row r="238" hidden="1" outlineLevel="1">
      <c r="A238" s="1" t="s">
        <v>519</v>
      </c>
      <c r="B238" s="1" t="s">
        <v>508</v>
      </c>
      <c r="C238" s="1" t="s">
        <v>509</v>
      </c>
      <c r="D238" s="1" t="s">
        <v>692</v>
      </c>
      <c r="E238" s="27">
        <v>45448.0</v>
      </c>
      <c r="F238" s="46" t="s">
        <v>693</v>
      </c>
      <c r="G238" s="7" t="s">
        <v>694</v>
      </c>
      <c r="H238" s="16"/>
      <c r="I238" s="4"/>
      <c r="J238" s="4" t="b">
        <v>0</v>
      </c>
      <c r="K238" s="4" t="b">
        <v>0</v>
      </c>
      <c r="L238" s="1"/>
      <c r="M238" s="6"/>
      <c r="N238" s="1"/>
      <c r="O238" s="1"/>
      <c r="P238" s="1"/>
      <c r="Q238" s="1"/>
      <c r="R238" s="1"/>
      <c r="S238" s="1"/>
      <c r="T238" s="1"/>
      <c r="U238" s="1"/>
      <c r="V238" s="1"/>
      <c r="W238" s="1"/>
      <c r="X238" s="1"/>
      <c r="Y238" s="1"/>
      <c r="Z238" s="1"/>
      <c r="AA238" s="1"/>
      <c r="AB238" s="1"/>
    </row>
    <row r="239" hidden="1" outlineLevel="1">
      <c r="A239" s="1" t="s">
        <v>519</v>
      </c>
      <c r="B239" s="1" t="s">
        <v>508</v>
      </c>
      <c r="C239" s="1" t="s">
        <v>509</v>
      </c>
      <c r="D239" s="1" t="s">
        <v>695</v>
      </c>
      <c r="E239" s="27">
        <v>45448.0</v>
      </c>
      <c r="F239" s="1" t="s">
        <v>696</v>
      </c>
      <c r="G239" s="7" t="s">
        <v>697</v>
      </c>
      <c r="H239" s="16"/>
      <c r="I239" s="4"/>
      <c r="J239" s="4" t="b">
        <v>0</v>
      </c>
      <c r="K239" s="4" t="b">
        <v>0</v>
      </c>
      <c r="L239" s="1"/>
      <c r="M239" s="6"/>
      <c r="N239" s="1"/>
      <c r="O239" s="1"/>
      <c r="P239" s="1"/>
      <c r="Q239" s="1"/>
      <c r="R239" s="1"/>
      <c r="S239" s="1"/>
      <c r="T239" s="1"/>
      <c r="U239" s="1"/>
      <c r="V239" s="1"/>
      <c r="W239" s="1"/>
      <c r="X239" s="1"/>
      <c r="Y239" s="1"/>
      <c r="Z239" s="1"/>
      <c r="AA239" s="1"/>
      <c r="AB239" s="1"/>
    </row>
    <row r="240" hidden="1" outlineLevel="1">
      <c r="A240" s="1" t="s">
        <v>519</v>
      </c>
      <c r="B240" s="1" t="s">
        <v>508</v>
      </c>
      <c r="C240" s="1" t="s">
        <v>509</v>
      </c>
      <c r="D240" s="47" t="s">
        <v>698</v>
      </c>
      <c r="E240" s="27">
        <v>45449.0</v>
      </c>
      <c r="F240" s="34" t="s">
        <v>699</v>
      </c>
      <c r="G240" s="7" t="s">
        <v>697</v>
      </c>
      <c r="H240" s="16"/>
      <c r="I240" s="4"/>
      <c r="J240" s="4" t="b">
        <v>0</v>
      </c>
      <c r="K240" s="4" t="b">
        <v>0</v>
      </c>
      <c r="L240" s="1"/>
      <c r="M240" s="6"/>
      <c r="N240" s="1"/>
      <c r="O240" s="1"/>
      <c r="P240" s="1"/>
      <c r="Q240" s="1"/>
      <c r="R240" s="1"/>
      <c r="S240" s="1"/>
      <c r="T240" s="1"/>
      <c r="U240" s="1"/>
      <c r="V240" s="1"/>
      <c r="W240" s="1"/>
      <c r="X240" s="1"/>
      <c r="Y240" s="1"/>
      <c r="Z240" s="1"/>
      <c r="AA240" s="1"/>
      <c r="AB240" s="1"/>
    </row>
    <row r="241" hidden="1" outlineLevel="1">
      <c r="A241" s="1" t="s">
        <v>507</v>
      </c>
      <c r="B241" s="1" t="s">
        <v>508</v>
      </c>
      <c r="C241" s="1" t="s">
        <v>509</v>
      </c>
      <c r="D241" s="48" t="s">
        <v>700</v>
      </c>
      <c r="E241" s="27">
        <v>45437.0</v>
      </c>
      <c r="F241" s="1" t="s">
        <v>701</v>
      </c>
      <c r="G241" s="7" t="s">
        <v>702</v>
      </c>
      <c r="H241" s="16"/>
      <c r="I241" s="4"/>
      <c r="J241" s="4" t="b">
        <v>0</v>
      </c>
      <c r="K241" s="4" t="b">
        <v>0</v>
      </c>
      <c r="L241" s="1"/>
      <c r="M241" s="6"/>
      <c r="N241" s="1"/>
      <c r="O241" s="1"/>
      <c r="P241" s="1"/>
      <c r="Q241" s="1"/>
      <c r="R241" s="1"/>
      <c r="S241" s="1"/>
      <c r="T241" s="1"/>
      <c r="U241" s="1"/>
      <c r="V241" s="1"/>
      <c r="W241" s="1"/>
      <c r="X241" s="1"/>
      <c r="Y241" s="1"/>
      <c r="Z241" s="1"/>
      <c r="AA241" s="1"/>
      <c r="AB241" s="1"/>
    </row>
    <row r="242" hidden="1" outlineLevel="1">
      <c r="A242" s="1" t="s">
        <v>507</v>
      </c>
      <c r="B242" s="1" t="s">
        <v>520</v>
      </c>
      <c r="C242" s="1" t="s">
        <v>703</v>
      </c>
      <c r="D242" s="17" t="s">
        <v>704</v>
      </c>
      <c r="E242" s="27">
        <v>45442.0</v>
      </c>
      <c r="F242" s="1" t="s">
        <v>705</v>
      </c>
      <c r="G242" s="7" t="s">
        <v>706</v>
      </c>
      <c r="H242" s="9" t="s">
        <v>707</v>
      </c>
      <c r="I242" s="4"/>
      <c r="J242" s="4" t="b">
        <v>0</v>
      </c>
      <c r="K242" s="4" t="b">
        <v>0</v>
      </c>
      <c r="L242" s="1"/>
      <c r="M242" s="6"/>
      <c r="N242" s="1"/>
      <c r="O242" s="1"/>
      <c r="P242" s="1"/>
      <c r="Q242" s="1"/>
      <c r="R242" s="1"/>
      <c r="S242" s="1"/>
      <c r="T242" s="1"/>
      <c r="U242" s="1"/>
      <c r="V242" s="1"/>
      <c r="W242" s="1"/>
      <c r="X242" s="1"/>
      <c r="Y242" s="1"/>
      <c r="Z242" s="1"/>
      <c r="AA242" s="1"/>
      <c r="AB242" s="1"/>
    </row>
    <row r="243" hidden="1" outlineLevel="1">
      <c r="A243" s="1" t="s">
        <v>519</v>
      </c>
      <c r="B243" s="1" t="s">
        <v>708</v>
      </c>
      <c r="C243" s="1" t="s">
        <v>709</v>
      </c>
      <c r="D243" s="1" t="s">
        <v>710</v>
      </c>
      <c r="E243" s="27">
        <v>45442.0</v>
      </c>
      <c r="F243" s="1" t="s">
        <v>711</v>
      </c>
      <c r="G243" s="7" t="s">
        <v>712</v>
      </c>
      <c r="H243" s="16"/>
      <c r="I243" s="4"/>
      <c r="J243" s="4" t="b">
        <v>0</v>
      </c>
      <c r="K243" s="4" t="b">
        <v>0</v>
      </c>
      <c r="L243" s="1"/>
      <c r="M243" s="6"/>
      <c r="N243" s="1"/>
      <c r="O243" s="1"/>
      <c r="P243" s="1"/>
      <c r="Q243" s="1"/>
      <c r="R243" s="1"/>
      <c r="S243" s="1"/>
      <c r="T243" s="1"/>
      <c r="U243" s="1"/>
      <c r="V243" s="1"/>
      <c r="W243" s="1"/>
      <c r="X243" s="1"/>
      <c r="Y243" s="1"/>
      <c r="Z243" s="1"/>
      <c r="AA243" s="1"/>
      <c r="AB243" s="1"/>
    </row>
    <row r="244" hidden="1" outlineLevel="1">
      <c r="A244" s="1" t="s">
        <v>507</v>
      </c>
      <c r="B244" s="1" t="s">
        <v>708</v>
      </c>
      <c r="C244" s="1" t="s">
        <v>713</v>
      </c>
      <c r="D244" s="1" t="s">
        <v>714</v>
      </c>
      <c r="E244" s="27">
        <v>45441.0</v>
      </c>
      <c r="F244" s="1" t="s">
        <v>715</v>
      </c>
      <c r="G244" s="7" t="s">
        <v>716</v>
      </c>
      <c r="H244" s="16"/>
      <c r="I244" s="4"/>
      <c r="J244" s="4" t="b">
        <v>0</v>
      </c>
      <c r="K244" s="4" t="b">
        <v>0</v>
      </c>
      <c r="L244" s="1"/>
      <c r="M244" s="6"/>
      <c r="N244" s="1"/>
      <c r="O244" s="1"/>
      <c r="P244" s="1"/>
      <c r="Q244" s="1"/>
      <c r="R244" s="1"/>
      <c r="S244" s="1"/>
      <c r="T244" s="1"/>
      <c r="U244" s="1"/>
      <c r="V244" s="1"/>
      <c r="W244" s="1"/>
      <c r="X244" s="1"/>
      <c r="Y244" s="1"/>
      <c r="Z244" s="1"/>
      <c r="AA244" s="1"/>
      <c r="AB244" s="1"/>
    </row>
    <row r="245" hidden="1" outlineLevel="1">
      <c r="A245" s="1" t="s">
        <v>507</v>
      </c>
      <c r="B245" s="1" t="s">
        <v>708</v>
      </c>
      <c r="C245" s="1" t="s">
        <v>717</v>
      </c>
      <c r="D245" s="1" t="s">
        <v>718</v>
      </c>
      <c r="E245" s="27">
        <v>45440.0</v>
      </c>
      <c r="F245" s="1" t="s">
        <v>719</v>
      </c>
      <c r="G245" s="7" t="s">
        <v>720</v>
      </c>
      <c r="H245" s="16"/>
      <c r="I245" s="4"/>
      <c r="J245" s="4" t="b">
        <v>0</v>
      </c>
      <c r="K245" s="4" t="b">
        <v>0</v>
      </c>
      <c r="L245" s="1"/>
      <c r="M245" s="6"/>
      <c r="N245" s="1"/>
      <c r="O245" s="1"/>
      <c r="P245" s="1"/>
      <c r="Q245" s="1"/>
      <c r="R245" s="1"/>
      <c r="S245" s="1"/>
      <c r="T245" s="1"/>
      <c r="U245" s="1"/>
      <c r="V245" s="1"/>
      <c r="W245" s="1"/>
      <c r="X245" s="1"/>
      <c r="Y245" s="1"/>
      <c r="Z245" s="1"/>
      <c r="AA245" s="1"/>
      <c r="AB245" s="1"/>
    </row>
    <row r="246" hidden="1" outlineLevel="1">
      <c r="A246" s="1" t="s">
        <v>507</v>
      </c>
      <c r="B246" s="1" t="s">
        <v>708</v>
      </c>
      <c r="C246" s="1" t="s">
        <v>648</v>
      </c>
      <c r="D246" s="49" t="s">
        <v>721</v>
      </c>
      <c r="E246" s="27">
        <v>45435.0</v>
      </c>
      <c r="F246" s="1" t="s">
        <v>722</v>
      </c>
      <c r="G246" s="7" t="s">
        <v>723</v>
      </c>
      <c r="H246" s="16"/>
      <c r="I246" s="4"/>
      <c r="J246" s="4" t="b">
        <v>0</v>
      </c>
      <c r="K246" s="4" t="b">
        <v>0</v>
      </c>
      <c r="L246" s="1"/>
      <c r="M246" s="6"/>
      <c r="N246" s="1"/>
      <c r="O246" s="1"/>
      <c r="P246" s="1"/>
      <c r="Q246" s="1"/>
      <c r="R246" s="1"/>
      <c r="S246" s="1"/>
      <c r="T246" s="1"/>
      <c r="U246" s="1"/>
      <c r="V246" s="1"/>
      <c r="W246" s="1"/>
      <c r="X246" s="1"/>
      <c r="Y246" s="1"/>
      <c r="Z246" s="1"/>
      <c r="AA246" s="1"/>
      <c r="AB246" s="1"/>
    </row>
    <row r="247" hidden="1" outlineLevel="1">
      <c r="A247" s="1" t="s">
        <v>507</v>
      </c>
      <c r="B247" s="1" t="s">
        <v>594</v>
      </c>
      <c r="C247" s="1" t="s">
        <v>724</v>
      </c>
      <c r="D247" s="1" t="s">
        <v>725</v>
      </c>
      <c r="E247" s="27">
        <v>45435.0</v>
      </c>
      <c r="F247" s="1" t="s">
        <v>726</v>
      </c>
      <c r="G247" s="7" t="s">
        <v>727</v>
      </c>
      <c r="H247" s="16"/>
      <c r="I247" s="4"/>
      <c r="J247" s="4" t="b">
        <v>0</v>
      </c>
      <c r="K247" s="4" t="b">
        <v>0</v>
      </c>
      <c r="L247" s="1"/>
      <c r="M247" s="6"/>
      <c r="N247" s="1"/>
      <c r="O247" s="1"/>
      <c r="P247" s="1"/>
      <c r="Q247" s="1"/>
      <c r="R247" s="1"/>
      <c r="S247" s="1"/>
      <c r="T247" s="1"/>
      <c r="U247" s="1"/>
      <c r="V247" s="1"/>
      <c r="W247" s="1"/>
      <c r="X247" s="1"/>
      <c r="Y247" s="1"/>
      <c r="Z247" s="1"/>
      <c r="AA247" s="1"/>
      <c r="AB247" s="1"/>
    </row>
    <row r="248" hidden="1" outlineLevel="1">
      <c r="A248" s="1" t="s">
        <v>507</v>
      </c>
      <c r="B248" s="1" t="s">
        <v>594</v>
      </c>
      <c r="C248" s="1" t="s">
        <v>728</v>
      </c>
      <c r="D248" s="1" t="s">
        <v>729</v>
      </c>
      <c r="E248" s="27">
        <v>45436.0</v>
      </c>
      <c r="F248" s="1" t="s">
        <v>730</v>
      </c>
      <c r="G248" s="7" t="s">
        <v>731</v>
      </c>
      <c r="H248" s="16"/>
      <c r="I248" s="4"/>
      <c r="J248" s="4" t="b">
        <v>0</v>
      </c>
      <c r="K248" s="4" t="b">
        <v>0</v>
      </c>
      <c r="L248" s="1"/>
      <c r="M248" s="6"/>
      <c r="N248" s="1"/>
      <c r="O248" s="1"/>
      <c r="P248" s="1"/>
      <c r="Q248" s="1"/>
      <c r="R248" s="1"/>
      <c r="S248" s="1"/>
      <c r="T248" s="1"/>
      <c r="U248" s="1"/>
      <c r="V248" s="1"/>
      <c r="W248" s="1"/>
      <c r="X248" s="1"/>
      <c r="Y248" s="1"/>
      <c r="Z248" s="1"/>
      <c r="AA248" s="1"/>
      <c r="AB248" s="1"/>
    </row>
    <row r="249" hidden="1" outlineLevel="1">
      <c r="A249" s="1" t="s">
        <v>507</v>
      </c>
      <c r="B249" s="1" t="s">
        <v>594</v>
      </c>
      <c r="C249" s="50" t="s">
        <v>732</v>
      </c>
      <c r="D249" s="31" t="s">
        <v>733</v>
      </c>
      <c r="E249" s="27">
        <v>45435.0</v>
      </c>
      <c r="F249" s="1" t="s">
        <v>734</v>
      </c>
      <c r="G249" s="7" t="s">
        <v>735</v>
      </c>
      <c r="H249" s="16"/>
      <c r="I249" s="4"/>
      <c r="J249" s="4" t="b">
        <v>0</v>
      </c>
      <c r="K249" s="4" t="b">
        <v>0</v>
      </c>
      <c r="L249" s="1"/>
      <c r="M249" s="6"/>
      <c r="N249" s="1"/>
      <c r="O249" s="1"/>
      <c r="P249" s="1"/>
      <c r="Q249" s="1"/>
      <c r="R249" s="1"/>
      <c r="S249" s="1"/>
      <c r="T249" s="1"/>
      <c r="U249" s="1"/>
      <c r="V249" s="1"/>
      <c r="W249" s="1"/>
      <c r="X249" s="1"/>
      <c r="Y249" s="1"/>
      <c r="Z249" s="1"/>
      <c r="AA249" s="1"/>
      <c r="AB249" s="1"/>
    </row>
    <row r="250" hidden="1" outlineLevel="1">
      <c r="A250" s="1" t="s">
        <v>507</v>
      </c>
      <c r="B250" s="1" t="s">
        <v>529</v>
      </c>
      <c r="C250" s="51" t="s">
        <v>736</v>
      </c>
      <c r="D250" s="17" t="s">
        <v>737</v>
      </c>
      <c r="E250" s="27">
        <v>45435.0</v>
      </c>
      <c r="F250" s="32" t="s">
        <v>738</v>
      </c>
      <c r="G250" s="7" t="s">
        <v>739</v>
      </c>
      <c r="H250" s="16"/>
      <c r="I250" s="4"/>
      <c r="J250" s="4" t="b">
        <v>0</v>
      </c>
      <c r="K250" s="4" t="b">
        <v>0</v>
      </c>
      <c r="L250" s="1"/>
      <c r="M250" s="6"/>
      <c r="N250" s="1" t="s">
        <v>740</v>
      </c>
      <c r="O250" s="1"/>
      <c r="P250" s="1"/>
      <c r="Q250" s="1"/>
      <c r="R250" s="1"/>
      <c r="S250" s="1"/>
      <c r="T250" s="1"/>
      <c r="U250" s="1"/>
      <c r="V250" s="1"/>
      <c r="W250" s="1"/>
      <c r="X250" s="1"/>
      <c r="Y250" s="1"/>
      <c r="Z250" s="1"/>
      <c r="AA250" s="1"/>
      <c r="AB250" s="1"/>
    </row>
    <row r="251" collapsed="1">
      <c r="A251" s="1"/>
      <c r="B251" s="1"/>
      <c r="C251" s="1"/>
      <c r="D251" s="1"/>
      <c r="E251" s="28" t="s">
        <v>741</v>
      </c>
      <c r="F251" s="1"/>
      <c r="G251" s="5"/>
      <c r="H251" s="16"/>
      <c r="I251" s="4"/>
      <c r="J251" s="4" t="b">
        <v>0</v>
      </c>
      <c r="K251" s="4" t="b">
        <v>0</v>
      </c>
      <c r="L251" s="1"/>
      <c r="M251" s="6"/>
      <c r="N251" s="1"/>
      <c r="O251" s="1"/>
      <c r="P251" s="1"/>
      <c r="Q251" s="1"/>
      <c r="R251" s="1"/>
      <c r="S251" s="1"/>
      <c r="T251" s="1"/>
      <c r="U251" s="1"/>
      <c r="V251" s="1"/>
      <c r="W251" s="1"/>
      <c r="X251" s="1"/>
      <c r="Y251" s="1"/>
      <c r="Z251" s="1"/>
      <c r="AA251" s="1"/>
      <c r="AB251" s="1"/>
    </row>
    <row r="252" hidden="1" outlineLevel="1">
      <c r="A252" s="1" t="s">
        <v>519</v>
      </c>
      <c r="B252" s="1" t="s">
        <v>537</v>
      </c>
      <c r="C252" s="1" t="s">
        <v>742</v>
      </c>
      <c r="D252" s="1" t="s">
        <v>743</v>
      </c>
      <c r="E252" s="27">
        <v>45433.0</v>
      </c>
      <c r="F252" s="1" t="s">
        <v>744</v>
      </c>
      <c r="G252" s="7" t="s">
        <v>745</v>
      </c>
      <c r="H252" s="16"/>
      <c r="I252" s="4"/>
      <c r="J252" s="4" t="b">
        <v>0</v>
      </c>
      <c r="K252" s="4" t="b">
        <v>0</v>
      </c>
      <c r="L252" s="1"/>
      <c r="M252" s="6"/>
      <c r="N252" s="1"/>
      <c r="O252" s="1"/>
      <c r="P252" s="1"/>
      <c r="Q252" s="1"/>
      <c r="R252" s="1"/>
      <c r="S252" s="1"/>
      <c r="T252" s="1"/>
      <c r="U252" s="1"/>
      <c r="V252" s="1"/>
      <c r="W252" s="1"/>
      <c r="X252" s="1"/>
      <c r="Y252" s="1"/>
      <c r="Z252" s="1"/>
      <c r="AA252" s="1"/>
      <c r="AB252" s="1"/>
    </row>
    <row r="253" hidden="1" outlineLevel="1">
      <c r="A253" s="1" t="s">
        <v>507</v>
      </c>
      <c r="B253" s="1" t="s">
        <v>746</v>
      </c>
      <c r="C253" s="52" t="s">
        <v>747</v>
      </c>
      <c r="D253" s="45" t="s">
        <v>748</v>
      </c>
      <c r="E253" s="53">
        <v>45451.0</v>
      </c>
      <c r="F253" s="34" t="s">
        <v>749</v>
      </c>
      <c r="G253" s="7" t="s">
        <v>750</v>
      </c>
      <c r="H253" s="16"/>
      <c r="I253" s="4"/>
      <c r="J253" s="4" t="b">
        <v>0</v>
      </c>
      <c r="K253" s="4" t="b">
        <v>0</v>
      </c>
      <c r="L253" s="1"/>
      <c r="M253" s="6"/>
      <c r="N253" s="1"/>
      <c r="O253" s="1"/>
      <c r="P253" s="1"/>
      <c r="Q253" s="1"/>
      <c r="R253" s="1"/>
      <c r="S253" s="1"/>
      <c r="T253" s="1"/>
      <c r="U253" s="1"/>
      <c r="V253" s="1"/>
      <c r="W253" s="1"/>
      <c r="X253" s="1"/>
      <c r="Y253" s="1"/>
      <c r="Z253" s="1"/>
      <c r="AA253" s="1"/>
      <c r="AB253" s="1"/>
    </row>
    <row r="254" hidden="1" outlineLevel="1">
      <c r="A254" s="1" t="s">
        <v>519</v>
      </c>
      <c r="B254" s="1" t="s">
        <v>520</v>
      </c>
      <c r="C254" s="1" t="s">
        <v>751</v>
      </c>
      <c r="D254" s="17" t="s">
        <v>752</v>
      </c>
      <c r="E254" s="27">
        <v>45425.0</v>
      </c>
      <c r="F254" s="1" t="s">
        <v>753</v>
      </c>
      <c r="G254" s="7" t="s">
        <v>754</v>
      </c>
      <c r="H254" s="16"/>
      <c r="I254" s="4"/>
      <c r="J254" s="4" t="b">
        <v>0</v>
      </c>
      <c r="K254" s="4" t="b">
        <v>0</v>
      </c>
      <c r="L254" s="1"/>
      <c r="M254" s="6"/>
      <c r="N254" s="1"/>
      <c r="O254" s="1"/>
      <c r="P254" s="1"/>
      <c r="Q254" s="1"/>
      <c r="R254" s="1"/>
      <c r="S254" s="1"/>
      <c r="T254" s="1"/>
      <c r="U254" s="1"/>
      <c r="V254" s="1"/>
      <c r="W254" s="1"/>
      <c r="X254" s="1"/>
      <c r="Y254" s="1"/>
      <c r="Z254" s="1"/>
      <c r="AA254" s="1"/>
      <c r="AB254" s="1"/>
    </row>
    <row r="255" hidden="1" outlineLevel="1">
      <c r="A255" s="1" t="s">
        <v>519</v>
      </c>
      <c r="B255" s="1" t="s">
        <v>529</v>
      </c>
      <c r="C255" s="1" t="s">
        <v>755</v>
      </c>
      <c r="D255" s="17" t="s">
        <v>756</v>
      </c>
      <c r="E255" s="27">
        <v>45397.0</v>
      </c>
      <c r="F255" s="1" t="s">
        <v>757</v>
      </c>
      <c r="G255" s="7" t="s">
        <v>758</v>
      </c>
      <c r="H255" s="16"/>
      <c r="I255" s="4"/>
      <c r="J255" s="4" t="b">
        <v>0</v>
      </c>
      <c r="K255" s="4" t="b">
        <v>0</v>
      </c>
      <c r="L255" s="1"/>
      <c r="M255" s="6"/>
      <c r="N255" s="1" t="s">
        <v>759</v>
      </c>
      <c r="O255" s="1"/>
      <c r="P255" s="1"/>
      <c r="Q255" s="1"/>
      <c r="R255" s="1"/>
      <c r="S255" s="1"/>
      <c r="T255" s="1"/>
      <c r="U255" s="1"/>
      <c r="V255" s="1"/>
      <c r="W255" s="1"/>
      <c r="X255" s="1"/>
      <c r="Y255" s="1"/>
      <c r="Z255" s="1"/>
      <c r="AA255" s="1"/>
      <c r="AB255" s="1"/>
    </row>
    <row r="256" hidden="1" outlineLevel="1">
      <c r="A256" s="1" t="s">
        <v>519</v>
      </c>
      <c r="B256" s="1" t="s">
        <v>529</v>
      </c>
      <c r="C256" s="1" t="s">
        <v>760</v>
      </c>
      <c r="D256" s="1" t="s">
        <v>761</v>
      </c>
      <c r="E256" s="27">
        <v>45415.0</v>
      </c>
      <c r="F256" s="1" t="s">
        <v>762</v>
      </c>
      <c r="G256" s="7" t="s">
        <v>763</v>
      </c>
      <c r="H256" s="16"/>
      <c r="I256" s="4"/>
      <c r="J256" s="4" t="b">
        <v>0</v>
      </c>
      <c r="K256" s="4" t="b">
        <v>0</v>
      </c>
      <c r="L256" s="1"/>
      <c r="M256" s="6"/>
      <c r="N256" s="1"/>
      <c r="O256" s="1"/>
      <c r="P256" s="1"/>
      <c r="Q256" s="1"/>
      <c r="R256" s="1"/>
      <c r="S256" s="1"/>
      <c r="T256" s="1"/>
      <c r="U256" s="1"/>
      <c r="V256" s="1"/>
      <c r="W256" s="1"/>
      <c r="X256" s="1"/>
      <c r="Y256" s="1"/>
      <c r="Z256" s="1"/>
      <c r="AA256" s="1"/>
      <c r="AB256" s="1"/>
    </row>
    <row r="257" hidden="1" outlineLevel="1">
      <c r="A257" s="1" t="s">
        <v>507</v>
      </c>
      <c r="B257" s="1" t="s">
        <v>746</v>
      </c>
      <c r="C257" s="1" t="s">
        <v>564</v>
      </c>
      <c r="D257" s="54" t="s">
        <v>764</v>
      </c>
      <c r="E257" s="53">
        <v>45451.0</v>
      </c>
      <c r="F257" s="34" t="s">
        <v>765</v>
      </c>
      <c r="G257" s="7" t="s">
        <v>766</v>
      </c>
      <c r="H257" s="16"/>
      <c r="I257" s="4"/>
      <c r="J257" s="4" t="b">
        <v>0</v>
      </c>
      <c r="K257" s="4" t="b">
        <v>0</v>
      </c>
      <c r="L257" s="1"/>
      <c r="M257" s="6"/>
      <c r="N257" s="1"/>
      <c r="O257" s="1"/>
      <c r="P257" s="1"/>
      <c r="Q257" s="1"/>
      <c r="R257" s="1"/>
      <c r="S257" s="1"/>
      <c r="T257" s="1"/>
      <c r="U257" s="1"/>
      <c r="V257" s="1"/>
      <c r="W257" s="1"/>
      <c r="X257" s="1"/>
      <c r="Y257" s="1"/>
      <c r="Z257" s="1"/>
      <c r="AA257" s="1"/>
      <c r="AB257" s="1"/>
    </row>
    <row r="258" hidden="1" outlineLevel="1">
      <c r="A258" s="1" t="s">
        <v>519</v>
      </c>
      <c r="B258" s="1" t="s">
        <v>529</v>
      </c>
      <c r="C258" s="1" t="s">
        <v>767</v>
      </c>
      <c r="D258" s="17" t="s">
        <v>768</v>
      </c>
      <c r="E258" s="27">
        <v>45412.0</v>
      </c>
      <c r="F258" s="1" t="s">
        <v>769</v>
      </c>
      <c r="G258" s="7" t="s">
        <v>770</v>
      </c>
      <c r="H258" s="16"/>
      <c r="I258" s="4"/>
      <c r="J258" s="4" t="b">
        <v>0</v>
      </c>
      <c r="K258" s="4" t="b">
        <v>0</v>
      </c>
      <c r="L258" s="1"/>
      <c r="M258" s="6"/>
      <c r="N258" s="1"/>
      <c r="O258" s="1"/>
      <c r="P258" s="1"/>
      <c r="Q258" s="1"/>
      <c r="R258" s="1"/>
      <c r="S258" s="1"/>
      <c r="T258" s="1"/>
      <c r="U258" s="1"/>
      <c r="V258" s="1"/>
      <c r="W258" s="1"/>
      <c r="X258" s="1"/>
      <c r="Y258" s="1"/>
      <c r="Z258" s="1"/>
      <c r="AA258" s="1"/>
      <c r="AB258" s="1"/>
    </row>
    <row r="259" hidden="1" outlineLevel="1">
      <c r="A259" s="1" t="s">
        <v>507</v>
      </c>
      <c r="B259" s="1" t="s">
        <v>746</v>
      </c>
      <c r="C259" s="51" t="s">
        <v>747</v>
      </c>
      <c r="D259" s="48" t="s">
        <v>771</v>
      </c>
      <c r="E259" s="27">
        <v>45449.0</v>
      </c>
      <c r="F259" s="1" t="s">
        <v>772</v>
      </c>
      <c r="G259" s="7" t="s">
        <v>773</v>
      </c>
      <c r="H259" s="16"/>
      <c r="I259" s="4"/>
      <c r="J259" s="4" t="b">
        <v>0</v>
      </c>
      <c r="K259" s="4" t="b">
        <v>0</v>
      </c>
      <c r="L259" s="1"/>
      <c r="M259" s="6"/>
      <c r="N259" s="1"/>
      <c r="O259" s="1"/>
      <c r="P259" s="1"/>
      <c r="Q259" s="1"/>
      <c r="R259" s="1"/>
      <c r="S259" s="1"/>
      <c r="T259" s="1"/>
      <c r="U259" s="1"/>
      <c r="V259" s="1"/>
      <c r="W259" s="1"/>
      <c r="X259" s="1"/>
      <c r="Y259" s="1"/>
      <c r="Z259" s="1"/>
      <c r="AA259" s="1"/>
      <c r="AB259" s="1"/>
    </row>
    <row r="260" hidden="1" outlineLevel="1">
      <c r="A260" s="1" t="s">
        <v>519</v>
      </c>
      <c r="B260" s="1" t="s">
        <v>708</v>
      </c>
      <c r="C260" s="1" t="s">
        <v>774</v>
      </c>
      <c r="D260" s="17" t="s">
        <v>775</v>
      </c>
      <c r="E260" s="27">
        <v>45434.0</v>
      </c>
      <c r="F260" s="1" t="s">
        <v>776</v>
      </c>
      <c r="G260" s="7" t="s">
        <v>777</v>
      </c>
      <c r="H260" s="16"/>
      <c r="I260" s="4"/>
      <c r="J260" s="4" t="b">
        <v>0</v>
      </c>
      <c r="K260" s="4" t="b">
        <v>0</v>
      </c>
      <c r="L260" s="1"/>
      <c r="M260" s="6"/>
      <c r="N260" s="1" t="s">
        <v>778</v>
      </c>
      <c r="O260" s="1"/>
      <c r="P260" s="1"/>
      <c r="Q260" s="1"/>
      <c r="R260" s="1"/>
      <c r="S260" s="1"/>
      <c r="T260" s="1"/>
      <c r="U260" s="1"/>
      <c r="V260" s="1"/>
      <c r="W260" s="1"/>
      <c r="X260" s="1"/>
      <c r="Y260" s="1"/>
      <c r="Z260" s="1"/>
      <c r="AA260" s="1"/>
      <c r="AB260" s="1"/>
    </row>
    <row r="261" hidden="1" outlineLevel="1">
      <c r="A261" s="1" t="s">
        <v>507</v>
      </c>
      <c r="B261" s="1" t="s">
        <v>537</v>
      </c>
      <c r="C261" s="51" t="s">
        <v>747</v>
      </c>
      <c r="D261" s="48" t="s">
        <v>779</v>
      </c>
      <c r="E261" s="53">
        <v>45455.0</v>
      </c>
      <c r="F261" s="34" t="s">
        <v>780</v>
      </c>
      <c r="G261" s="7" t="s">
        <v>781</v>
      </c>
      <c r="H261" s="16"/>
      <c r="I261" s="4"/>
      <c r="J261" s="4" t="b">
        <v>0</v>
      </c>
      <c r="K261" s="4" t="b">
        <v>0</v>
      </c>
      <c r="L261" s="1"/>
      <c r="M261" s="6"/>
      <c r="N261" s="1"/>
      <c r="O261" s="1"/>
      <c r="P261" s="1"/>
      <c r="Q261" s="1"/>
      <c r="R261" s="1"/>
      <c r="S261" s="1"/>
      <c r="T261" s="1"/>
      <c r="U261" s="1"/>
      <c r="V261" s="1"/>
      <c r="W261" s="1"/>
      <c r="X261" s="1"/>
      <c r="Y261" s="1"/>
      <c r="Z261" s="1"/>
      <c r="AA261" s="1"/>
      <c r="AB261" s="1"/>
    </row>
    <row r="262" hidden="1" outlineLevel="1">
      <c r="A262" s="1" t="s">
        <v>782</v>
      </c>
      <c r="B262" s="1" t="s">
        <v>520</v>
      </c>
      <c r="C262" s="51" t="s">
        <v>783</v>
      </c>
      <c r="D262" s="48" t="s">
        <v>784</v>
      </c>
      <c r="E262" s="53">
        <v>45455.0</v>
      </c>
      <c r="F262" s="1" t="s">
        <v>785</v>
      </c>
      <c r="G262" s="7" t="s">
        <v>786</v>
      </c>
      <c r="H262" s="16"/>
      <c r="I262" s="4"/>
      <c r="J262" s="4" t="b">
        <v>0</v>
      </c>
      <c r="K262" s="4" t="b">
        <v>0</v>
      </c>
      <c r="L262" s="1"/>
      <c r="M262" s="6"/>
      <c r="N262" s="1"/>
      <c r="O262" s="1"/>
      <c r="P262" s="1"/>
      <c r="Q262" s="1"/>
      <c r="R262" s="1"/>
      <c r="S262" s="1"/>
      <c r="T262" s="1"/>
      <c r="U262" s="1"/>
      <c r="V262" s="1"/>
      <c r="W262" s="1"/>
      <c r="X262" s="1"/>
      <c r="Y262" s="1"/>
      <c r="Z262" s="1"/>
      <c r="AA262" s="1"/>
      <c r="AB262" s="1"/>
    </row>
    <row r="263" hidden="1" outlineLevel="1">
      <c r="A263" s="1" t="s">
        <v>574</v>
      </c>
      <c r="B263" s="1" t="s">
        <v>708</v>
      </c>
      <c r="C263" s="1" t="s">
        <v>787</v>
      </c>
      <c r="D263" s="1" t="s">
        <v>788</v>
      </c>
      <c r="E263" s="27">
        <v>45428.0</v>
      </c>
      <c r="F263" s="1" t="s">
        <v>789</v>
      </c>
      <c r="G263" s="7" t="s">
        <v>790</v>
      </c>
      <c r="H263" s="9" t="s">
        <v>791</v>
      </c>
      <c r="I263" s="4"/>
      <c r="J263" s="4" t="b">
        <v>0</v>
      </c>
      <c r="K263" s="4" t="b">
        <v>0</v>
      </c>
      <c r="L263" s="1"/>
      <c r="M263" s="6"/>
      <c r="N263" s="1"/>
      <c r="O263" s="1"/>
      <c r="P263" s="1"/>
      <c r="Q263" s="1"/>
      <c r="R263" s="1"/>
      <c r="S263" s="1"/>
      <c r="T263" s="1"/>
      <c r="U263" s="1"/>
      <c r="V263" s="1"/>
      <c r="W263" s="1"/>
      <c r="X263" s="1"/>
      <c r="Y263" s="1"/>
      <c r="Z263" s="1"/>
      <c r="AA263" s="1"/>
      <c r="AB263" s="1"/>
    </row>
    <row r="264" hidden="1" outlineLevel="1">
      <c r="A264" s="1" t="s">
        <v>782</v>
      </c>
      <c r="B264" s="1" t="s">
        <v>746</v>
      </c>
      <c r="C264" s="1" t="s">
        <v>792</v>
      </c>
      <c r="D264" s="48" t="s">
        <v>793</v>
      </c>
      <c r="E264" s="53">
        <v>45439.0</v>
      </c>
      <c r="F264" s="34" t="s">
        <v>794</v>
      </c>
      <c r="G264" s="7" t="s">
        <v>795</v>
      </c>
      <c r="H264" s="16"/>
      <c r="I264" s="4"/>
      <c r="J264" s="4" t="b">
        <v>0</v>
      </c>
      <c r="K264" s="4" t="b">
        <v>0</v>
      </c>
      <c r="L264" s="1"/>
      <c r="M264" s="6"/>
      <c r="N264" s="1"/>
      <c r="O264" s="1"/>
      <c r="P264" s="1"/>
      <c r="Q264" s="1"/>
      <c r="R264" s="1"/>
      <c r="S264" s="1"/>
      <c r="T264" s="1"/>
      <c r="U264" s="1"/>
      <c r="V264" s="1"/>
      <c r="W264" s="1"/>
      <c r="X264" s="1"/>
      <c r="Y264" s="1"/>
      <c r="Z264" s="1"/>
      <c r="AA264" s="1"/>
      <c r="AB264" s="1"/>
    </row>
    <row r="265" hidden="1" outlineLevel="1">
      <c r="A265" s="1" t="s">
        <v>782</v>
      </c>
      <c r="B265" s="1" t="s">
        <v>746</v>
      </c>
      <c r="C265" s="1" t="s">
        <v>792</v>
      </c>
      <c r="D265" s="48" t="s">
        <v>796</v>
      </c>
      <c r="E265" s="53">
        <v>45432.0</v>
      </c>
      <c r="F265" s="34" t="s">
        <v>797</v>
      </c>
      <c r="G265" s="7" t="s">
        <v>798</v>
      </c>
      <c r="H265" s="55"/>
      <c r="I265" s="4"/>
      <c r="J265" s="4" t="b">
        <v>0</v>
      </c>
      <c r="K265" s="4" t="b">
        <v>0</v>
      </c>
      <c r="L265" s="1"/>
      <c r="M265" s="6"/>
      <c r="N265" s="1"/>
      <c r="O265" s="1"/>
      <c r="P265" s="1"/>
      <c r="Q265" s="1"/>
      <c r="R265" s="1"/>
      <c r="S265" s="1"/>
      <c r="T265" s="1"/>
      <c r="U265" s="1"/>
      <c r="V265" s="1"/>
      <c r="W265" s="1"/>
      <c r="X265" s="1"/>
      <c r="Y265" s="1"/>
      <c r="Z265" s="1"/>
      <c r="AA265" s="1"/>
      <c r="AB265" s="1"/>
    </row>
    <row r="266" hidden="1" outlineLevel="1">
      <c r="A266" s="1" t="s">
        <v>507</v>
      </c>
      <c r="B266" s="1" t="s">
        <v>799</v>
      </c>
      <c r="C266" s="1" t="s">
        <v>524</v>
      </c>
      <c r="D266" s="31" t="s">
        <v>800</v>
      </c>
      <c r="E266" s="53">
        <v>45449.0</v>
      </c>
      <c r="F266" s="34" t="s">
        <v>801</v>
      </c>
      <c r="G266" s="7" t="s">
        <v>802</v>
      </c>
      <c r="H266" s="16"/>
      <c r="I266" s="4"/>
      <c r="J266" s="4" t="b">
        <v>0</v>
      </c>
      <c r="K266" s="4" t="b">
        <v>0</v>
      </c>
      <c r="L266" s="1"/>
      <c r="M266" s="6"/>
      <c r="N266" s="1"/>
      <c r="O266" s="1"/>
      <c r="P266" s="1"/>
      <c r="Q266" s="1"/>
      <c r="R266" s="1"/>
      <c r="S266" s="1"/>
      <c r="T266" s="1"/>
      <c r="U266" s="1"/>
      <c r="V266" s="1"/>
      <c r="W266" s="1"/>
      <c r="X266" s="1"/>
      <c r="Y266" s="1"/>
      <c r="Z266" s="1"/>
      <c r="AA266" s="1"/>
      <c r="AB266" s="1"/>
    </row>
    <row r="267" hidden="1" outlineLevel="1">
      <c r="A267" s="1" t="s">
        <v>519</v>
      </c>
      <c r="B267" s="1" t="s">
        <v>520</v>
      </c>
      <c r="C267" s="1" t="s">
        <v>803</v>
      </c>
      <c r="D267" s="1" t="s">
        <v>804</v>
      </c>
      <c r="E267" s="27">
        <v>45435.0</v>
      </c>
      <c r="F267" s="1" t="s">
        <v>805</v>
      </c>
      <c r="G267" s="7" t="s">
        <v>806</v>
      </c>
      <c r="H267" s="16"/>
      <c r="I267" s="4"/>
      <c r="J267" s="4" t="b">
        <v>0</v>
      </c>
      <c r="K267" s="4" t="b">
        <v>0</v>
      </c>
      <c r="L267" s="1"/>
      <c r="M267" s="6"/>
      <c r="N267" s="1" t="s">
        <v>807</v>
      </c>
      <c r="O267" s="1"/>
      <c r="P267" s="1"/>
      <c r="Q267" s="1"/>
      <c r="R267" s="1"/>
      <c r="S267" s="1"/>
      <c r="T267" s="1"/>
      <c r="U267" s="1"/>
      <c r="V267" s="1"/>
      <c r="W267" s="1"/>
      <c r="X267" s="1"/>
      <c r="Y267" s="1"/>
      <c r="Z267" s="1"/>
      <c r="AA267" s="1"/>
      <c r="AB267" s="1"/>
    </row>
    <row r="268" collapsed="1">
      <c r="A268" s="1"/>
      <c r="B268" s="1"/>
      <c r="C268" s="1"/>
      <c r="D268" s="48"/>
      <c r="E268" s="28" t="s">
        <v>808</v>
      </c>
      <c r="F268" s="34"/>
      <c r="G268" s="5"/>
      <c r="H268" s="16"/>
      <c r="I268" s="4"/>
      <c r="J268" s="4" t="b">
        <v>0</v>
      </c>
      <c r="K268" s="4" t="b">
        <v>0</v>
      </c>
      <c r="L268" s="1"/>
      <c r="M268" s="6"/>
      <c r="N268" s="1"/>
      <c r="O268" s="1"/>
      <c r="P268" s="1"/>
      <c r="Q268" s="1"/>
      <c r="R268" s="1"/>
      <c r="S268" s="1"/>
      <c r="T268" s="1"/>
      <c r="U268" s="1"/>
      <c r="V268" s="1"/>
      <c r="W268" s="1"/>
      <c r="X268" s="1"/>
      <c r="Y268" s="1"/>
      <c r="Z268" s="1"/>
      <c r="AA268" s="1"/>
      <c r="AB268" s="1"/>
    </row>
    <row r="269" hidden="1" outlineLevel="1">
      <c r="A269" s="1" t="s">
        <v>519</v>
      </c>
      <c r="B269" s="1" t="s">
        <v>809</v>
      </c>
      <c r="C269" s="1" t="s">
        <v>810</v>
      </c>
      <c r="D269" s="48" t="s">
        <v>811</v>
      </c>
      <c r="E269" s="27">
        <v>45462.0</v>
      </c>
      <c r="F269" s="34" t="s">
        <v>812</v>
      </c>
      <c r="G269" s="7" t="s">
        <v>813</v>
      </c>
      <c r="H269" s="16"/>
      <c r="I269" s="4"/>
      <c r="J269" s="4" t="b">
        <v>0</v>
      </c>
      <c r="K269" s="4" t="b">
        <v>0</v>
      </c>
      <c r="L269" s="1"/>
      <c r="M269" s="6"/>
      <c r="N269" s="1" t="s">
        <v>814</v>
      </c>
      <c r="O269" s="1"/>
      <c r="P269" s="1"/>
      <c r="Q269" s="1"/>
      <c r="R269" s="1"/>
      <c r="S269" s="1"/>
      <c r="T269" s="1"/>
      <c r="U269" s="1"/>
      <c r="V269" s="1"/>
      <c r="W269" s="1"/>
      <c r="X269" s="1"/>
      <c r="Y269" s="1"/>
      <c r="Z269" s="1"/>
      <c r="AA269" s="1"/>
      <c r="AB269" s="1"/>
    </row>
    <row r="270" hidden="1" outlineLevel="1">
      <c r="A270" s="1" t="s">
        <v>507</v>
      </c>
      <c r="B270" s="1" t="s">
        <v>520</v>
      </c>
      <c r="C270" s="1" t="s">
        <v>810</v>
      </c>
      <c r="D270" s="17" t="s">
        <v>815</v>
      </c>
      <c r="E270" s="27">
        <v>45442.0</v>
      </c>
      <c r="F270" s="34" t="s">
        <v>816</v>
      </c>
      <c r="G270" s="7" t="s">
        <v>817</v>
      </c>
      <c r="H270" s="16"/>
      <c r="I270" s="4"/>
      <c r="J270" s="4" t="b">
        <v>0</v>
      </c>
      <c r="K270" s="4" t="b">
        <v>0</v>
      </c>
      <c r="L270" s="1"/>
      <c r="M270" s="6"/>
      <c r="N270" s="1" t="s">
        <v>818</v>
      </c>
      <c r="O270" s="1"/>
      <c r="P270" s="1"/>
      <c r="Q270" s="1"/>
      <c r="R270" s="1"/>
      <c r="S270" s="1"/>
      <c r="T270" s="1"/>
      <c r="U270" s="1"/>
      <c r="V270" s="1"/>
      <c r="W270" s="1"/>
      <c r="X270" s="1"/>
      <c r="Y270" s="1"/>
      <c r="Z270" s="1"/>
      <c r="AA270" s="1"/>
      <c r="AB270" s="1"/>
    </row>
    <row r="271" hidden="1" outlineLevel="1">
      <c r="A271" s="1" t="s">
        <v>574</v>
      </c>
      <c r="B271" s="1" t="s">
        <v>520</v>
      </c>
      <c r="C271" s="1" t="s">
        <v>819</v>
      </c>
      <c r="D271" s="17" t="s">
        <v>820</v>
      </c>
      <c r="E271" s="27">
        <v>45448.0</v>
      </c>
      <c r="F271" s="1" t="s">
        <v>821</v>
      </c>
      <c r="G271" s="7" t="s">
        <v>822</v>
      </c>
      <c r="H271" s="16"/>
      <c r="I271" s="4"/>
      <c r="J271" s="4" t="b">
        <v>0</v>
      </c>
      <c r="K271" s="4" t="b">
        <v>0</v>
      </c>
      <c r="L271" s="1"/>
      <c r="M271" s="6"/>
      <c r="N271" s="1"/>
      <c r="O271" s="1"/>
      <c r="P271" s="1"/>
      <c r="Q271" s="1"/>
      <c r="R271" s="1"/>
      <c r="S271" s="1"/>
      <c r="T271" s="1"/>
      <c r="U271" s="1"/>
      <c r="V271" s="1"/>
      <c r="W271" s="1"/>
      <c r="X271" s="1"/>
      <c r="Y271" s="1"/>
      <c r="Z271" s="1"/>
      <c r="AA271" s="1"/>
      <c r="AB271" s="1"/>
    </row>
    <row r="272" hidden="1" outlineLevel="1">
      <c r="A272" s="1" t="s">
        <v>507</v>
      </c>
      <c r="B272" s="1" t="s">
        <v>708</v>
      </c>
      <c r="C272" s="1" t="s">
        <v>823</v>
      </c>
      <c r="D272" s="31" t="s">
        <v>824</v>
      </c>
      <c r="E272" s="27">
        <v>45460.0</v>
      </c>
      <c r="F272" s="34" t="s">
        <v>825</v>
      </c>
      <c r="G272" s="7" t="s">
        <v>826</v>
      </c>
      <c r="H272" s="16"/>
      <c r="I272" s="4"/>
      <c r="J272" s="4" t="b">
        <v>0</v>
      </c>
      <c r="K272" s="4" t="b">
        <v>0</v>
      </c>
      <c r="L272" s="1"/>
      <c r="M272" s="6"/>
      <c r="N272" s="1"/>
      <c r="O272" s="1"/>
      <c r="P272" s="1"/>
      <c r="Q272" s="1"/>
      <c r="R272" s="1"/>
      <c r="S272" s="1"/>
      <c r="T272" s="1"/>
      <c r="U272" s="1"/>
      <c r="V272" s="1"/>
      <c r="W272" s="1"/>
      <c r="X272" s="1"/>
      <c r="Y272" s="1"/>
      <c r="Z272" s="1"/>
      <c r="AA272" s="1"/>
      <c r="AB272" s="1"/>
    </row>
    <row r="273" hidden="1" outlineLevel="1">
      <c r="A273" s="1" t="s">
        <v>519</v>
      </c>
      <c r="B273" s="1" t="s">
        <v>520</v>
      </c>
      <c r="C273" s="1" t="s">
        <v>827</v>
      </c>
      <c r="D273" s="56" t="s">
        <v>828</v>
      </c>
      <c r="E273" s="27">
        <v>45462.0</v>
      </c>
      <c r="F273" s="34" t="s">
        <v>829</v>
      </c>
      <c r="G273" s="7" t="s">
        <v>830</v>
      </c>
      <c r="H273" s="16"/>
      <c r="I273" s="4"/>
      <c r="J273" s="4" t="b">
        <v>0</v>
      </c>
      <c r="K273" s="4" t="b">
        <v>0</v>
      </c>
      <c r="L273" s="1"/>
      <c r="M273" s="6"/>
      <c r="N273" s="1"/>
      <c r="O273" s="1"/>
      <c r="P273" s="1"/>
      <c r="Q273" s="1"/>
      <c r="R273" s="1"/>
      <c r="S273" s="1"/>
      <c r="T273" s="1"/>
      <c r="U273" s="1"/>
      <c r="V273" s="1"/>
      <c r="W273" s="1"/>
      <c r="X273" s="1"/>
      <c r="Y273" s="1"/>
      <c r="Z273" s="1"/>
      <c r="AA273" s="1"/>
      <c r="AB273" s="1"/>
    </row>
    <row r="274" hidden="1" outlineLevel="1">
      <c r="A274" s="1" t="s">
        <v>507</v>
      </c>
      <c r="B274" s="1" t="s">
        <v>529</v>
      </c>
      <c r="C274" s="1" t="s">
        <v>831</v>
      </c>
      <c r="D274" s="1" t="s">
        <v>832</v>
      </c>
      <c r="E274" s="27">
        <v>45447.0</v>
      </c>
      <c r="F274" s="1" t="s">
        <v>833</v>
      </c>
      <c r="G274" s="7" t="s">
        <v>834</v>
      </c>
      <c r="H274" s="16"/>
      <c r="I274" s="4"/>
      <c r="J274" s="4" t="b">
        <v>0</v>
      </c>
      <c r="K274" s="4" t="b">
        <v>0</v>
      </c>
      <c r="L274" s="1"/>
      <c r="M274" s="6"/>
      <c r="N274" s="1"/>
      <c r="O274" s="1"/>
      <c r="P274" s="1"/>
      <c r="Q274" s="1"/>
      <c r="R274" s="1"/>
      <c r="S274" s="1"/>
      <c r="T274" s="1"/>
      <c r="U274" s="1"/>
      <c r="V274" s="1"/>
      <c r="W274" s="1"/>
      <c r="X274" s="1"/>
      <c r="Y274" s="1"/>
      <c r="Z274" s="1"/>
      <c r="AA274" s="1"/>
      <c r="AB274" s="1"/>
    </row>
    <row r="275" hidden="1" outlineLevel="1">
      <c r="A275" s="1" t="s">
        <v>519</v>
      </c>
      <c r="B275" s="1" t="s">
        <v>599</v>
      </c>
      <c r="C275" s="1" t="s">
        <v>831</v>
      </c>
      <c r="D275" s="1" t="s">
        <v>835</v>
      </c>
      <c r="E275" s="27">
        <v>45441.0</v>
      </c>
      <c r="F275" s="1" t="s">
        <v>836</v>
      </c>
      <c r="G275" s="7" t="s">
        <v>837</v>
      </c>
      <c r="H275" s="16"/>
      <c r="I275" s="4"/>
      <c r="J275" s="4" t="b">
        <v>0</v>
      </c>
      <c r="K275" s="4" t="b">
        <v>0</v>
      </c>
      <c r="L275" s="1"/>
      <c r="M275" s="6"/>
      <c r="N275" s="1"/>
      <c r="O275" s="1"/>
      <c r="P275" s="1"/>
      <c r="Q275" s="1"/>
      <c r="R275" s="1"/>
      <c r="S275" s="1"/>
      <c r="T275" s="1"/>
      <c r="U275" s="1"/>
      <c r="V275" s="1"/>
      <c r="W275" s="1"/>
      <c r="X275" s="1"/>
      <c r="Y275" s="1"/>
      <c r="Z275" s="1"/>
      <c r="AA275" s="1"/>
      <c r="AB275" s="1"/>
    </row>
    <row r="276" hidden="1" outlineLevel="1">
      <c r="A276" s="1" t="s">
        <v>507</v>
      </c>
      <c r="B276" s="1" t="s">
        <v>799</v>
      </c>
      <c r="C276" s="1" t="s">
        <v>838</v>
      </c>
      <c r="D276" s="57" t="s">
        <v>839</v>
      </c>
      <c r="E276" s="27">
        <v>45469.0</v>
      </c>
      <c r="F276" s="34" t="s">
        <v>840</v>
      </c>
      <c r="G276" s="7" t="s">
        <v>841</v>
      </c>
      <c r="H276" s="16"/>
      <c r="I276" s="4"/>
      <c r="J276" s="4" t="b">
        <v>0</v>
      </c>
      <c r="K276" s="4" t="b">
        <v>0</v>
      </c>
      <c r="L276" s="1"/>
      <c r="M276" s="6"/>
      <c r="N276" s="1"/>
      <c r="O276" s="1"/>
      <c r="P276" s="1"/>
      <c r="Q276" s="1"/>
      <c r="R276" s="1"/>
      <c r="S276" s="1"/>
      <c r="T276" s="1"/>
      <c r="U276" s="1"/>
      <c r="V276" s="1"/>
      <c r="W276" s="1"/>
      <c r="X276" s="1"/>
      <c r="Y276" s="1"/>
      <c r="Z276" s="1"/>
      <c r="AA276" s="1"/>
      <c r="AB276" s="1"/>
    </row>
    <row r="277" hidden="1" outlineLevel="1">
      <c r="A277" s="1" t="s">
        <v>574</v>
      </c>
      <c r="B277" s="1" t="s">
        <v>529</v>
      </c>
      <c r="C277" s="1" t="s">
        <v>831</v>
      </c>
      <c r="D277" s="1" t="s">
        <v>842</v>
      </c>
      <c r="E277" s="27">
        <v>45441.0</v>
      </c>
      <c r="F277" s="1" t="s">
        <v>843</v>
      </c>
      <c r="G277" s="7" t="s">
        <v>844</v>
      </c>
      <c r="H277" s="16"/>
      <c r="I277" s="4"/>
      <c r="J277" s="4" t="b">
        <v>0</v>
      </c>
      <c r="K277" s="4" t="b">
        <v>0</v>
      </c>
      <c r="L277" s="1"/>
      <c r="M277" s="6"/>
      <c r="N277" s="1"/>
      <c r="O277" s="1"/>
      <c r="P277" s="1"/>
      <c r="Q277" s="1"/>
      <c r="R277" s="1"/>
      <c r="S277" s="1"/>
      <c r="T277" s="1"/>
      <c r="U277" s="1"/>
      <c r="V277" s="1"/>
      <c r="W277" s="1"/>
      <c r="X277" s="1"/>
      <c r="Y277" s="1"/>
      <c r="Z277" s="1"/>
      <c r="AA277" s="1"/>
      <c r="AB277" s="1"/>
    </row>
    <row r="278" hidden="1" outlineLevel="1">
      <c r="A278" s="1" t="s">
        <v>519</v>
      </c>
      <c r="B278" s="1" t="s">
        <v>508</v>
      </c>
      <c r="C278" s="1" t="s">
        <v>845</v>
      </c>
      <c r="D278" s="17" t="s">
        <v>846</v>
      </c>
      <c r="E278" s="27">
        <v>45448.0</v>
      </c>
      <c r="F278" s="1" t="s">
        <v>847</v>
      </c>
      <c r="G278" s="7" t="s">
        <v>848</v>
      </c>
      <c r="H278" s="16"/>
      <c r="I278" s="4"/>
      <c r="J278" s="4" t="b">
        <v>0</v>
      </c>
      <c r="K278" s="4" t="b">
        <v>0</v>
      </c>
      <c r="L278" s="1"/>
      <c r="M278" s="6"/>
      <c r="N278" s="1"/>
      <c r="O278" s="1"/>
      <c r="P278" s="1"/>
      <c r="Q278" s="1"/>
      <c r="R278" s="1"/>
      <c r="S278" s="1"/>
      <c r="T278" s="1"/>
      <c r="U278" s="1"/>
      <c r="V278" s="1"/>
      <c r="W278" s="1"/>
      <c r="X278" s="1"/>
      <c r="Y278" s="1"/>
      <c r="Z278" s="1"/>
      <c r="AA278" s="1"/>
      <c r="AB278" s="1"/>
    </row>
    <row r="279" hidden="1" outlineLevel="1">
      <c r="A279" s="1" t="s">
        <v>507</v>
      </c>
      <c r="B279" s="1" t="s">
        <v>680</v>
      </c>
      <c r="C279" s="51" t="s">
        <v>849</v>
      </c>
      <c r="D279" s="31" t="s">
        <v>850</v>
      </c>
      <c r="E279" s="58">
        <v>45453.0</v>
      </c>
      <c r="F279" s="1" t="s">
        <v>851</v>
      </c>
      <c r="G279" s="7" t="s">
        <v>852</v>
      </c>
      <c r="H279" s="16"/>
      <c r="I279" s="4"/>
      <c r="J279" s="4" t="b">
        <v>0</v>
      </c>
      <c r="K279" s="4" t="b">
        <v>0</v>
      </c>
      <c r="L279" s="1"/>
      <c r="M279" s="6"/>
      <c r="N279" s="1"/>
      <c r="O279" s="1"/>
      <c r="P279" s="1"/>
      <c r="Q279" s="1"/>
      <c r="R279" s="1"/>
      <c r="S279" s="1"/>
      <c r="T279" s="1"/>
      <c r="U279" s="1"/>
      <c r="V279" s="1"/>
      <c r="W279" s="1"/>
      <c r="X279" s="1"/>
      <c r="Y279" s="1"/>
      <c r="Z279" s="1"/>
      <c r="AA279" s="1"/>
      <c r="AB279" s="1"/>
    </row>
    <row r="280" hidden="1" outlineLevel="1">
      <c r="A280" s="1" t="s">
        <v>507</v>
      </c>
      <c r="B280" s="1" t="s">
        <v>708</v>
      </c>
      <c r="C280" s="1" t="s">
        <v>853</v>
      </c>
      <c r="D280" s="1" t="s">
        <v>854</v>
      </c>
      <c r="E280" s="58">
        <v>45453.0</v>
      </c>
      <c r="F280" s="34" t="s">
        <v>855</v>
      </c>
      <c r="G280" s="7" t="s">
        <v>856</v>
      </c>
      <c r="H280" s="16"/>
      <c r="I280" s="4"/>
      <c r="J280" s="4" t="b">
        <v>0</v>
      </c>
      <c r="K280" s="4" t="b">
        <v>0</v>
      </c>
      <c r="L280" s="1"/>
      <c r="M280" s="6"/>
      <c r="N280" s="1" t="s">
        <v>857</v>
      </c>
      <c r="O280" s="1"/>
      <c r="P280" s="1"/>
      <c r="Q280" s="1"/>
      <c r="R280" s="1"/>
      <c r="S280" s="1"/>
      <c r="T280" s="1"/>
      <c r="U280" s="1"/>
      <c r="V280" s="1"/>
      <c r="W280" s="1"/>
      <c r="X280" s="1"/>
      <c r="Y280" s="1"/>
      <c r="Z280" s="1"/>
      <c r="AA280" s="1"/>
      <c r="AB280" s="1"/>
    </row>
    <row r="281" hidden="1" outlineLevel="1">
      <c r="A281" s="1" t="s">
        <v>507</v>
      </c>
      <c r="B281" s="1" t="s">
        <v>520</v>
      </c>
      <c r="C281" s="1" t="s">
        <v>858</v>
      </c>
      <c r="D281" s="31" t="s">
        <v>859</v>
      </c>
      <c r="E281" s="27">
        <v>45455.0</v>
      </c>
      <c r="F281" s="1" t="s">
        <v>860</v>
      </c>
      <c r="G281" s="7" t="s">
        <v>861</v>
      </c>
      <c r="H281" s="16"/>
      <c r="I281" s="4"/>
      <c r="J281" s="4" t="b">
        <v>0</v>
      </c>
      <c r="K281" s="4" t="b">
        <v>0</v>
      </c>
      <c r="L281" s="1"/>
      <c r="M281" s="6"/>
      <c r="N281" s="1"/>
      <c r="O281" s="1"/>
      <c r="P281" s="1"/>
      <c r="Q281" s="1"/>
      <c r="R281" s="1"/>
      <c r="S281" s="1"/>
      <c r="T281" s="1"/>
      <c r="U281" s="1"/>
      <c r="V281" s="1"/>
      <c r="W281" s="1"/>
      <c r="X281" s="1"/>
      <c r="Y281" s="1"/>
      <c r="Z281" s="1"/>
      <c r="AA281" s="1"/>
      <c r="AB281" s="1"/>
    </row>
    <row r="282" hidden="1" outlineLevel="1">
      <c r="A282" s="1" t="s">
        <v>519</v>
      </c>
      <c r="B282" s="1" t="s">
        <v>529</v>
      </c>
      <c r="C282" s="1" t="s">
        <v>862</v>
      </c>
      <c r="D282" s="59" t="s">
        <v>863</v>
      </c>
      <c r="E282" s="27">
        <v>45448.0</v>
      </c>
      <c r="F282" s="1" t="s">
        <v>864</v>
      </c>
      <c r="G282" s="7" t="s">
        <v>865</v>
      </c>
      <c r="H282" s="16"/>
      <c r="I282" s="4"/>
      <c r="J282" s="4" t="b">
        <v>0</v>
      </c>
      <c r="K282" s="4" t="b">
        <v>0</v>
      </c>
      <c r="L282" s="1"/>
      <c r="M282" s="6"/>
      <c r="N282" s="1" t="s">
        <v>866</v>
      </c>
      <c r="O282" s="1"/>
      <c r="P282" s="1"/>
      <c r="Q282" s="1"/>
      <c r="R282" s="1"/>
      <c r="S282" s="1"/>
      <c r="T282" s="1"/>
      <c r="U282" s="1"/>
      <c r="V282" s="1"/>
      <c r="W282" s="1"/>
      <c r="X282" s="1"/>
      <c r="Y282" s="1"/>
      <c r="Z282" s="1"/>
      <c r="AA282" s="1"/>
      <c r="AB282" s="1"/>
    </row>
    <row r="283" hidden="1" outlineLevel="1">
      <c r="A283" s="1" t="s">
        <v>507</v>
      </c>
      <c r="B283" s="1" t="s">
        <v>529</v>
      </c>
      <c r="C283" s="60" t="s">
        <v>867</v>
      </c>
      <c r="D283" s="17" t="s">
        <v>868</v>
      </c>
      <c r="E283" s="27">
        <v>45455.0</v>
      </c>
      <c r="F283" s="1" t="s">
        <v>869</v>
      </c>
      <c r="G283" s="7" t="s">
        <v>870</v>
      </c>
      <c r="H283" s="16"/>
      <c r="I283" s="4"/>
      <c r="J283" s="4" t="b">
        <v>0</v>
      </c>
      <c r="K283" s="4" t="b">
        <v>0</v>
      </c>
      <c r="L283" s="1"/>
      <c r="M283" s="6"/>
      <c r="N283" s="1"/>
      <c r="O283" s="1"/>
      <c r="P283" s="1"/>
      <c r="Q283" s="1"/>
      <c r="R283" s="1"/>
      <c r="S283" s="1"/>
      <c r="T283" s="1"/>
      <c r="U283" s="1"/>
      <c r="V283" s="1"/>
      <c r="W283" s="1"/>
      <c r="X283" s="1"/>
      <c r="Y283" s="1"/>
      <c r="Z283" s="1"/>
      <c r="AA283" s="1"/>
      <c r="AB283" s="1"/>
    </row>
    <row r="284" hidden="1" outlineLevel="1">
      <c r="A284" s="1" t="s">
        <v>574</v>
      </c>
      <c r="B284" s="1" t="s">
        <v>871</v>
      </c>
      <c r="C284" s="1" t="s">
        <v>872</v>
      </c>
      <c r="D284" s="1" t="s">
        <v>873</v>
      </c>
      <c r="E284" s="27">
        <v>45443.0</v>
      </c>
      <c r="F284" s="1" t="s">
        <v>874</v>
      </c>
      <c r="G284" s="7" t="s">
        <v>875</v>
      </c>
      <c r="H284" s="16"/>
      <c r="I284" s="4"/>
      <c r="J284" s="4" t="b">
        <v>0</v>
      </c>
      <c r="K284" s="4" t="b">
        <v>0</v>
      </c>
      <c r="L284" s="1"/>
      <c r="M284" s="6"/>
      <c r="N284" s="1"/>
      <c r="O284" s="1"/>
      <c r="P284" s="1"/>
      <c r="Q284" s="1"/>
      <c r="R284" s="1"/>
      <c r="S284" s="1"/>
      <c r="T284" s="1"/>
      <c r="U284" s="1"/>
      <c r="V284" s="1"/>
      <c r="W284" s="1"/>
      <c r="X284" s="1"/>
      <c r="Y284" s="1"/>
      <c r="Z284" s="1"/>
      <c r="AA284" s="1"/>
      <c r="AB284" s="1"/>
    </row>
    <row r="285" hidden="1" outlineLevel="1">
      <c r="A285" s="1" t="s">
        <v>507</v>
      </c>
      <c r="B285" s="1" t="s">
        <v>520</v>
      </c>
      <c r="C285" s="1" t="s">
        <v>876</v>
      </c>
      <c r="D285" s="1" t="s">
        <v>877</v>
      </c>
      <c r="E285" s="27">
        <v>45442.0</v>
      </c>
      <c r="F285" s="1" t="s">
        <v>878</v>
      </c>
      <c r="G285" s="7" t="s">
        <v>879</v>
      </c>
      <c r="H285" s="9" t="s">
        <v>879</v>
      </c>
      <c r="I285" s="4"/>
      <c r="J285" s="4" t="b">
        <v>0</v>
      </c>
      <c r="K285" s="4" t="b">
        <v>0</v>
      </c>
      <c r="L285" s="1"/>
      <c r="M285" s="6"/>
      <c r="N285" s="1" t="s">
        <v>880</v>
      </c>
      <c r="O285" s="1"/>
      <c r="P285" s="1"/>
      <c r="Q285" s="1"/>
      <c r="R285" s="1"/>
      <c r="S285" s="1"/>
      <c r="T285" s="1"/>
      <c r="U285" s="1"/>
      <c r="V285" s="1"/>
      <c r="W285" s="1"/>
      <c r="X285" s="1"/>
      <c r="Y285" s="1"/>
      <c r="Z285" s="1"/>
      <c r="AA285" s="1"/>
      <c r="AB285" s="1"/>
    </row>
    <row r="286" hidden="1" outlineLevel="1">
      <c r="A286" s="1" t="s">
        <v>507</v>
      </c>
      <c r="B286" s="1" t="s">
        <v>708</v>
      </c>
      <c r="C286" s="1" t="s">
        <v>881</v>
      </c>
      <c r="D286" s="31" t="s">
        <v>882</v>
      </c>
      <c r="E286" s="27">
        <v>45457.0</v>
      </c>
      <c r="F286" s="1" t="s">
        <v>883</v>
      </c>
      <c r="G286" s="7" t="s">
        <v>884</v>
      </c>
      <c r="H286" s="16"/>
      <c r="I286" s="4"/>
      <c r="J286" s="4" t="b">
        <v>0</v>
      </c>
      <c r="K286" s="4" t="b">
        <v>0</v>
      </c>
      <c r="L286" s="1"/>
      <c r="M286" s="6"/>
      <c r="N286" s="1"/>
      <c r="O286" s="1"/>
      <c r="P286" s="1"/>
      <c r="Q286" s="1"/>
      <c r="R286" s="1"/>
      <c r="S286" s="1"/>
      <c r="T286" s="1"/>
      <c r="U286" s="1"/>
      <c r="V286" s="1"/>
      <c r="W286" s="1"/>
      <c r="X286" s="1"/>
      <c r="Y286" s="1"/>
      <c r="Z286" s="1"/>
      <c r="AA286" s="1"/>
      <c r="AB286" s="1"/>
    </row>
    <row r="287" collapsed="1">
      <c r="A287" s="1"/>
      <c r="B287" s="1"/>
      <c r="C287" s="1"/>
      <c r="D287" s="1"/>
      <c r="E287" s="28" t="s">
        <v>885</v>
      </c>
      <c r="F287" s="1"/>
      <c r="G287" s="5"/>
      <c r="H287" s="16"/>
      <c r="I287" s="4"/>
      <c r="J287" s="4" t="b">
        <v>0</v>
      </c>
      <c r="K287" s="4" t="b">
        <v>0</v>
      </c>
      <c r="L287" s="1"/>
      <c r="M287" s="6"/>
      <c r="N287" s="1"/>
      <c r="O287" s="1"/>
      <c r="P287" s="1"/>
      <c r="Q287" s="1"/>
      <c r="R287" s="1"/>
      <c r="S287" s="1"/>
      <c r="T287" s="1"/>
      <c r="U287" s="1"/>
      <c r="V287" s="1"/>
      <c r="W287" s="1"/>
      <c r="X287" s="1"/>
      <c r="Y287" s="1"/>
      <c r="Z287" s="1"/>
      <c r="AA287" s="1"/>
      <c r="AB287" s="1"/>
    </row>
    <row r="288" hidden="1" outlineLevel="1">
      <c r="A288" s="1" t="s">
        <v>519</v>
      </c>
      <c r="B288" s="1" t="s">
        <v>520</v>
      </c>
      <c r="C288" s="1" t="s">
        <v>509</v>
      </c>
      <c r="D288" s="1" t="s">
        <v>886</v>
      </c>
      <c r="E288" s="27">
        <v>45482.0</v>
      </c>
      <c r="F288" s="1" t="s">
        <v>887</v>
      </c>
      <c r="G288" s="7" t="s">
        <v>888</v>
      </c>
      <c r="H288" s="16"/>
      <c r="I288" s="4"/>
      <c r="J288" s="4" t="b">
        <v>0</v>
      </c>
      <c r="K288" s="4" t="b">
        <v>0</v>
      </c>
      <c r="L288" s="1"/>
      <c r="M288" s="6"/>
      <c r="N288" s="1"/>
      <c r="O288" s="1"/>
      <c r="P288" s="1"/>
      <c r="Q288" s="1"/>
      <c r="R288" s="1"/>
      <c r="S288" s="1"/>
      <c r="T288" s="1"/>
      <c r="U288" s="1"/>
      <c r="V288" s="1"/>
      <c r="W288" s="1"/>
      <c r="X288" s="1"/>
      <c r="Y288" s="1"/>
      <c r="Z288" s="1"/>
      <c r="AA288" s="1"/>
      <c r="AB288" s="1"/>
    </row>
    <row r="289" hidden="1" outlineLevel="1">
      <c r="A289" s="1" t="s">
        <v>519</v>
      </c>
      <c r="B289" s="1" t="s">
        <v>529</v>
      </c>
      <c r="C289" s="1" t="s">
        <v>889</v>
      </c>
      <c r="D289" s="61" t="s">
        <v>890</v>
      </c>
      <c r="E289" s="27">
        <v>45441.0</v>
      </c>
      <c r="F289" s="1" t="s">
        <v>891</v>
      </c>
      <c r="G289" s="7" t="s">
        <v>892</v>
      </c>
      <c r="H289" s="16"/>
      <c r="I289" s="4"/>
      <c r="J289" s="4" t="b">
        <v>0</v>
      </c>
      <c r="K289" s="4" t="b">
        <v>0</v>
      </c>
      <c r="L289" s="1"/>
      <c r="M289" s="6"/>
      <c r="N289" s="1"/>
      <c r="O289" s="1"/>
      <c r="P289" s="1"/>
      <c r="Q289" s="1"/>
      <c r="R289" s="1"/>
      <c r="S289" s="1"/>
      <c r="T289" s="1"/>
      <c r="U289" s="1"/>
      <c r="V289" s="1"/>
      <c r="W289" s="1"/>
      <c r="X289" s="1"/>
      <c r="Y289" s="1"/>
      <c r="Z289" s="1"/>
      <c r="AA289" s="1"/>
      <c r="AB289" s="1"/>
    </row>
    <row r="290" hidden="1" outlineLevel="1">
      <c r="A290" s="1" t="s">
        <v>519</v>
      </c>
      <c r="B290" s="1" t="s">
        <v>520</v>
      </c>
      <c r="C290" s="1" t="s">
        <v>755</v>
      </c>
      <c r="D290" s="48" t="s">
        <v>893</v>
      </c>
      <c r="E290" s="27">
        <v>45476.0</v>
      </c>
      <c r="F290" s="1" t="s">
        <v>894</v>
      </c>
      <c r="G290" s="7" t="s">
        <v>895</v>
      </c>
      <c r="H290" s="16"/>
      <c r="I290" s="4"/>
      <c r="J290" s="4" t="b">
        <v>0</v>
      </c>
      <c r="K290" s="4" t="b">
        <v>0</v>
      </c>
      <c r="L290" s="1"/>
      <c r="M290" s="6"/>
      <c r="N290" s="1"/>
      <c r="O290" s="1"/>
      <c r="P290" s="1"/>
      <c r="Q290" s="1"/>
      <c r="R290" s="1"/>
      <c r="S290" s="1"/>
      <c r="T290" s="1"/>
      <c r="U290" s="1"/>
      <c r="V290" s="1"/>
      <c r="W290" s="1"/>
      <c r="X290" s="1"/>
      <c r="Y290" s="1"/>
      <c r="Z290" s="1"/>
      <c r="AA290" s="1"/>
      <c r="AB290" s="1"/>
    </row>
    <row r="291" hidden="1" outlineLevel="1">
      <c r="A291" s="1" t="s">
        <v>519</v>
      </c>
      <c r="B291" s="1" t="s">
        <v>569</v>
      </c>
      <c r="C291" s="1" t="s">
        <v>755</v>
      </c>
      <c r="D291" s="17" t="s">
        <v>896</v>
      </c>
      <c r="E291" s="62">
        <v>45481.0</v>
      </c>
      <c r="F291" s="34" t="s">
        <v>897</v>
      </c>
      <c r="G291" s="7" t="s">
        <v>898</v>
      </c>
      <c r="H291" s="16"/>
      <c r="I291" s="4"/>
      <c r="J291" s="4" t="b">
        <v>0</v>
      </c>
      <c r="K291" s="4" t="b">
        <v>0</v>
      </c>
      <c r="L291" s="1"/>
      <c r="M291" s="6"/>
      <c r="N291" s="1" t="s">
        <v>899</v>
      </c>
      <c r="O291" s="1"/>
      <c r="P291" s="1"/>
      <c r="Q291" s="1"/>
      <c r="R291" s="1"/>
      <c r="S291" s="1"/>
      <c r="T291" s="1"/>
      <c r="U291" s="1"/>
      <c r="V291" s="1"/>
      <c r="W291" s="1"/>
      <c r="X291" s="1"/>
      <c r="Y291" s="1"/>
      <c r="Z291" s="1"/>
      <c r="AA291" s="1"/>
      <c r="AB291" s="1"/>
    </row>
    <row r="292" ht="95.25" hidden="1" customHeight="1" outlineLevel="1">
      <c r="A292" s="1" t="s">
        <v>519</v>
      </c>
      <c r="B292" s="1" t="s">
        <v>569</v>
      </c>
      <c r="C292" s="1" t="s">
        <v>900</v>
      </c>
      <c r="D292" s="17" t="s">
        <v>901</v>
      </c>
      <c r="E292" s="62">
        <v>45480.0</v>
      </c>
      <c r="F292" s="1" t="s">
        <v>902</v>
      </c>
      <c r="G292" s="7" t="s">
        <v>903</v>
      </c>
      <c r="H292" s="16"/>
      <c r="I292" s="4"/>
      <c r="J292" s="4" t="b">
        <v>0</v>
      </c>
      <c r="K292" s="4" t="b">
        <v>0</v>
      </c>
      <c r="L292" s="1"/>
      <c r="M292" s="6"/>
      <c r="N292" s="1" t="s">
        <v>899</v>
      </c>
      <c r="O292" s="1"/>
      <c r="P292" s="1"/>
      <c r="Q292" s="1"/>
      <c r="R292" s="1"/>
      <c r="S292" s="1"/>
      <c r="T292" s="1"/>
      <c r="U292" s="1"/>
      <c r="V292" s="1"/>
      <c r="W292" s="1"/>
      <c r="X292" s="1"/>
      <c r="Y292" s="1"/>
      <c r="Z292" s="1"/>
      <c r="AA292" s="1"/>
      <c r="AB292" s="1"/>
    </row>
    <row r="293" hidden="1" outlineLevel="1">
      <c r="A293" s="1" t="s">
        <v>519</v>
      </c>
      <c r="B293" s="1" t="s">
        <v>508</v>
      </c>
      <c r="C293" s="1" t="s">
        <v>509</v>
      </c>
      <c r="D293" s="1" t="s">
        <v>904</v>
      </c>
      <c r="E293" s="27">
        <v>45456.0</v>
      </c>
      <c r="F293" s="35" t="s">
        <v>905</v>
      </c>
      <c r="G293" s="7" t="s">
        <v>906</v>
      </c>
      <c r="H293" s="16"/>
      <c r="I293" s="4"/>
      <c r="J293" s="4" t="b">
        <v>0</v>
      </c>
      <c r="K293" s="4" t="b">
        <v>0</v>
      </c>
      <c r="L293" s="1"/>
      <c r="M293" s="6"/>
      <c r="N293" s="1" t="s">
        <v>907</v>
      </c>
      <c r="O293" s="1"/>
      <c r="P293" s="1"/>
      <c r="Q293" s="1"/>
      <c r="R293" s="1"/>
      <c r="S293" s="1"/>
      <c r="T293" s="1"/>
      <c r="U293" s="1"/>
      <c r="V293" s="1"/>
      <c r="W293" s="1"/>
      <c r="X293" s="1"/>
      <c r="Y293" s="1"/>
      <c r="Z293" s="1"/>
      <c r="AA293" s="1"/>
      <c r="AB293" s="1"/>
    </row>
    <row r="294" hidden="1" outlineLevel="1">
      <c r="A294" s="1" t="s">
        <v>519</v>
      </c>
      <c r="B294" s="1" t="s">
        <v>508</v>
      </c>
      <c r="C294" s="1" t="s">
        <v>509</v>
      </c>
      <c r="D294" s="61" t="s">
        <v>908</v>
      </c>
      <c r="E294" s="63">
        <v>45460.0</v>
      </c>
      <c r="F294" s="1" t="s">
        <v>909</v>
      </c>
      <c r="G294" s="7" t="s">
        <v>910</v>
      </c>
      <c r="H294" s="16"/>
      <c r="I294" s="4"/>
      <c r="J294" s="4" t="b">
        <v>0</v>
      </c>
      <c r="K294" s="4" t="b">
        <v>0</v>
      </c>
      <c r="L294" s="1"/>
      <c r="M294" s="6"/>
      <c r="N294" s="1"/>
      <c r="O294" s="1"/>
      <c r="P294" s="1"/>
      <c r="Q294" s="1"/>
      <c r="R294" s="1"/>
      <c r="S294" s="1"/>
      <c r="T294" s="1"/>
      <c r="U294" s="1"/>
      <c r="V294" s="1"/>
      <c r="W294" s="1"/>
      <c r="X294" s="1"/>
      <c r="Y294" s="1"/>
      <c r="Z294" s="1"/>
      <c r="AA294" s="1"/>
      <c r="AB294" s="1"/>
    </row>
    <row r="295" hidden="1" outlineLevel="1">
      <c r="A295" s="1" t="s">
        <v>519</v>
      </c>
      <c r="B295" s="1" t="s">
        <v>508</v>
      </c>
      <c r="C295" s="1" t="s">
        <v>509</v>
      </c>
      <c r="D295" s="1" t="s">
        <v>911</v>
      </c>
      <c r="E295" s="27">
        <v>45462.0</v>
      </c>
      <c r="F295" s="1" t="s">
        <v>912</v>
      </c>
      <c r="G295" s="7" t="s">
        <v>913</v>
      </c>
      <c r="H295" s="16"/>
      <c r="I295" s="4"/>
      <c r="J295" s="4" t="b">
        <v>0</v>
      </c>
      <c r="K295" s="4" t="b">
        <v>0</v>
      </c>
      <c r="L295" s="1"/>
      <c r="M295" s="6"/>
      <c r="N295" s="1"/>
      <c r="O295" s="1"/>
      <c r="P295" s="1"/>
      <c r="Q295" s="1"/>
      <c r="R295" s="1"/>
      <c r="S295" s="1"/>
      <c r="T295" s="1"/>
      <c r="U295" s="1"/>
      <c r="V295" s="1"/>
      <c r="W295" s="1"/>
      <c r="X295" s="1"/>
      <c r="Y295" s="1"/>
      <c r="Z295" s="1"/>
      <c r="AA295" s="1"/>
      <c r="AB295" s="1"/>
    </row>
    <row r="296" hidden="1" outlineLevel="1">
      <c r="A296" s="1" t="s">
        <v>519</v>
      </c>
      <c r="B296" s="1" t="s">
        <v>520</v>
      </c>
      <c r="C296" s="1" t="s">
        <v>914</v>
      </c>
      <c r="D296" s="1" t="s">
        <v>915</v>
      </c>
      <c r="E296" s="27">
        <v>45481.0</v>
      </c>
      <c r="F296" s="35" t="s">
        <v>916</v>
      </c>
      <c r="G296" s="7" t="s">
        <v>917</v>
      </c>
      <c r="H296" s="16"/>
      <c r="I296" s="4"/>
      <c r="J296" s="4" t="b">
        <v>0</v>
      </c>
      <c r="K296" s="4" t="b">
        <v>0</v>
      </c>
      <c r="L296" s="1"/>
      <c r="M296" s="6"/>
      <c r="N296" s="1" t="s">
        <v>918</v>
      </c>
      <c r="O296" s="1"/>
      <c r="P296" s="1"/>
      <c r="Q296" s="1"/>
      <c r="R296" s="1"/>
      <c r="S296" s="1"/>
      <c r="T296" s="1"/>
      <c r="U296" s="1"/>
      <c r="V296" s="1"/>
      <c r="W296" s="1"/>
      <c r="X296" s="1"/>
      <c r="Y296" s="1"/>
      <c r="Z296" s="1"/>
      <c r="AA296" s="1"/>
      <c r="AB296" s="1"/>
    </row>
    <row r="297" ht="138.0" hidden="1" customHeight="1" outlineLevel="1">
      <c r="A297" s="1" t="s">
        <v>519</v>
      </c>
      <c r="B297" s="1" t="s">
        <v>520</v>
      </c>
      <c r="C297" s="1" t="s">
        <v>919</v>
      </c>
      <c r="D297" s="17" t="s">
        <v>920</v>
      </c>
      <c r="E297" s="27">
        <v>45443.0</v>
      </c>
      <c r="F297" s="1" t="s">
        <v>921</v>
      </c>
      <c r="G297" s="7" t="s">
        <v>922</v>
      </c>
      <c r="H297" s="16"/>
      <c r="I297" s="4"/>
      <c r="J297" s="4" t="b">
        <v>0</v>
      </c>
      <c r="K297" s="4" t="b">
        <v>0</v>
      </c>
      <c r="L297" s="1"/>
      <c r="M297" s="6"/>
      <c r="N297" s="1" t="s">
        <v>923</v>
      </c>
      <c r="O297" s="1"/>
      <c r="P297" s="1"/>
      <c r="Q297" s="1"/>
      <c r="R297" s="1"/>
      <c r="S297" s="1"/>
      <c r="T297" s="1"/>
      <c r="U297" s="1"/>
      <c r="V297" s="1"/>
      <c r="W297" s="1"/>
      <c r="X297" s="1"/>
      <c r="Y297" s="1"/>
      <c r="Z297" s="1"/>
      <c r="AA297" s="1"/>
      <c r="AB297" s="1"/>
    </row>
    <row r="298" hidden="1" outlineLevel="1">
      <c r="A298" s="1" t="s">
        <v>519</v>
      </c>
      <c r="B298" s="1" t="s">
        <v>520</v>
      </c>
      <c r="C298" s="1" t="s">
        <v>924</v>
      </c>
      <c r="D298" s="56" t="s">
        <v>925</v>
      </c>
      <c r="E298" s="27">
        <v>45449.0</v>
      </c>
      <c r="F298" s="1" t="s">
        <v>926</v>
      </c>
      <c r="G298" s="7" t="s">
        <v>927</v>
      </c>
      <c r="H298" s="16"/>
      <c r="I298" s="4"/>
      <c r="J298" s="4" t="b">
        <v>0</v>
      </c>
      <c r="K298" s="4" t="b">
        <v>0</v>
      </c>
      <c r="L298" s="1"/>
      <c r="M298" s="6"/>
      <c r="N298" s="1"/>
      <c r="O298" s="1"/>
      <c r="P298" s="1"/>
      <c r="Q298" s="1"/>
      <c r="R298" s="1"/>
      <c r="S298" s="1"/>
      <c r="T298" s="1"/>
      <c r="U298" s="1"/>
      <c r="V298" s="1"/>
      <c r="W298" s="1"/>
      <c r="X298" s="1"/>
      <c r="Y298" s="1"/>
      <c r="Z298" s="1"/>
      <c r="AA298" s="1"/>
      <c r="AB298" s="1"/>
    </row>
    <row r="299" hidden="1" outlineLevel="1">
      <c r="A299" s="1" t="s">
        <v>519</v>
      </c>
      <c r="B299" s="1" t="s">
        <v>529</v>
      </c>
      <c r="C299" s="1" t="s">
        <v>928</v>
      </c>
      <c r="D299" s="34" t="s">
        <v>929</v>
      </c>
      <c r="E299" s="27">
        <v>45447.0</v>
      </c>
      <c r="F299" s="1" t="s">
        <v>930</v>
      </c>
      <c r="G299" s="7" t="s">
        <v>931</v>
      </c>
      <c r="H299" s="16"/>
      <c r="I299" s="4"/>
      <c r="J299" s="4" t="b">
        <v>0</v>
      </c>
      <c r="K299" s="4" t="b">
        <v>0</v>
      </c>
      <c r="L299" s="1"/>
      <c r="M299" s="6"/>
      <c r="N299" s="1"/>
      <c r="O299" s="1"/>
      <c r="P299" s="1"/>
      <c r="Q299" s="1"/>
      <c r="R299" s="1"/>
      <c r="S299" s="1"/>
      <c r="T299" s="1"/>
      <c r="U299" s="1"/>
      <c r="V299" s="1"/>
      <c r="W299" s="1"/>
      <c r="X299" s="1"/>
      <c r="Y299" s="1"/>
      <c r="Z299" s="1"/>
      <c r="AA299" s="1"/>
      <c r="AB299" s="1"/>
    </row>
    <row r="300" hidden="1" outlineLevel="1">
      <c r="A300" s="1" t="s">
        <v>519</v>
      </c>
      <c r="B300" s="1" t="s">
        <v>508</v>
      </c>
      <c r="C300" s="1" t="s">
        <v>755</v>
      </c>
      <c r="D300" s="1" t="s">
        <v>932</v>
      </c>
      <c r="E300" s="27">
        <v>45447.0</v>
      </c>
      <c r="F300" s="1" t="s">
        <v>933</v>
      </c>
      <c r="G300" s="7" t="s">
        <v>934</v>
      </c>
      <c r="H300" s="16"/>
      <c r="I300" s="4"/>
      <c r="J300" s="4" t="b">
        <v>0</v>
      </c>
      <c r="K300" s="4" t="b">
        <v>0</v>
      </c>
      <c r="L300" s="1"/>
      <c r="M300" s="6"/>
      <c r="N300" s="1"/>
      <c r="O300" s="1"/>
      <c r="P300" s="1"/>
      <c r="Q300" s="1"/>
      <c r="R300" s="1"/>
      <c r="S300" s="1"/>
      <c r="T300" s="1"/>
      <c r="U300" s="1"/>
      <c r="V300" s="1"/>
      <c r="W300" s="1"/>
      <c r="X300" s="1"/>
      <c r="Y300" s="1"/>
      <c r="Z300" s="1"/>
      <c r="AA300" s="1"/>
      <c r="AB300" s="1"/>
    </row>
    <row r="301" hidden="1" outlineLevel="1">
      <c r="A301" s="35" t="s">
        <v>519</v>
      </c>
      <c r="B301" s="35" t="s">
        <v>520</v>
      </c>
      <c r="C301" s="35" t="s">
        <v>935</v>
      </c>
      <c r="D301" s="35" t="s">
        <v>936</v>
      </c>
      <c r="E301" s="37">
        <v>44847.0</v>
      </c>
      <c r="F301" s="35" t="s">
        <v>937</v>
      </c>
      <c r="G301" s="39" t="s">
        <v>938</v>
      </c>
      <c r="H301" s="64"/>
      <c r="I301" s="4"/>
      <c r="J301" s="4" t="b">
        <v>0</v>
      </c>
      <c r="K301" s="4" t="b">
        <v>0</v>
      </c>
      <c r="L301" s="1"/>
      <c r="M301" s="6"/>
      <c r="N301" s="1"/>
      <c r="O301" s="1"/>
      <c r="P301" s="1"/>
      <c r="Q301" s="1"/>
      <c r="R301" s="1"/>
      <c r="S301" s="1"/>
      <c r="T301" s="1"/>
      <c r="U301" s="1"/>
      <c r="V301" s="1"/>
      <c r="W301" s="1"/>
      <c r="X301" s="1"/>
      <c r="Y301" s="1"/>
      <c r="Z301" s="1"/>
      <c r="AA301" s="1"/>
      <c r="AB301" s="1"/>
    </row>
    <row r="302" hidden="1" outlineLevel="1">
      <c r="A302" s="1" t="s">
        <v>519</v>
      </c>
      <c r="B302" s="1" t="s">
        <v>520</v>
      </c>
      <c r="C302" s="1" t="s">
        <v>939</v>
      </c>
      <c r="D302" s="61" t="s">
        <v>940</v>
      </c>
      <c r="E302" s="58">
        <v>45463.0</v>
      </c>
      <c r="F302" s="1" t="s">
        <v>941</v>
      </c>
      <c r="G302" s="7" t="s">
        <v>942</v>
      </c>
      <c r="H302" s="9" t="s">
        <v>943</v>
      </c>
      <c r="I302" s="4"/>
      <c r="J302" s="4" t="b">
        <v>0</v>
      </c>
      <c r="K302" s="4" t="b">
        <v>0</v>
      </c>
      <c r="L302" s="1"/>
      <c r="M302" s="6"/>
      <c r="N302" s="1"/>
      <c r="O302" s="1"/>
      <c r="P302" s="1"/>
      <c r="Q302" s="1"/>
      <c r="R302" s="1"/>
      <c r="S302" s="1"/>
      <c r="T302" s="1"/>
      <c r="U302" s="1"/>
      <c r="V302" s="1"/>
      <c r="W302" s="1"/>
      <c r="X302" s="1"/>
      <c r="Y302" s="1"/>
      <c r="Z302" s="1"/>
      <c r="AA302" s="1"/>
      <c r="AB302" s="1"/>
    </row>
    <row r="303" hidden="1" outlineLevel="1">
      <c r="A303" s="1" t="s">
        <v>519</v>
      </c>
      <c r="B303" s="1" t="s">
        <v>594</v>
      </c>
      <c r="C303" s="1" t="s">
        <v>944</v>
      </c>
      <c r="D303" s="1" t="s">
        <v>945</v>
      </c>
      <c r="E303" s="27">
        <v>45462.0</v>
      </c>
      <c r="F303" s="32" t="s">
        <v>946</v>
      </c>
      <c r="G303" s="7" t="s">
        <v>947</v>
      </c>
      <c r="H303" s="16"/>
      <c r="I303" s="4"/>
      <c r="J303" s="4" t="b">
        <v>0</v>
      </c>
      <c r="K303" s="4" t="b">
        <v>0</v>
      </c>
      <c r="L303" s="1"/>
      <c r="M303" s="6"/>
      <c r="N303" s="32" t="s">
        <v>948</v>
      </c>
      <c r="O303" s="32"/>
      <c r="P303" s="32"/>
      <c r="Q303" s="32"/>
      <c r="R303" s="32"/>
      <c r="S303" s="32"/>
      <c r="T303" s="32"/>
      <c r="U303" s="32"/>
      <c r="V303" s="32"/>
      <c r="W303" s="32"/>
      <c r="X303" s="32"/>
      <c r="Y303" s="32"/>
      <c r="Z303" s="32"/>
      <c r="AA303" s="32"/>
      <c r="AB303" s="32"/>
    </row>
    <row r="304" hidden="1" outlineLevel="1">
      <c r="A304" s="1" t="s">
        <v>519</v>
      </c>
      <c r="B304" s="1" t="s">
        <v>809</v>
      </c>
      <c r="C304" s="1" t="s">
        <v>755</v>
      </c>
      <c r="D304" s="1" t="s">
        <v>949</v>
      </c>
      <c r="E304" s="27">
        <v>45461.0</v>
      </c>
      <c r="F304" s="1" t="s">
        <v>950</v>
      </c>
      <c r="G304" s="7" t="s">
        <v>951</v>
      </c>
      <c r="H304" s="16"/>
      <c r="I304" s="4"/>
      <c r="J304" s="4" t="b">
        <v>0</v>
      </c>
      <c r="K304" s="4" t="b">
        <v>0</v>
      </c>
      <c r="L304" s="1"/>
      <c r="M304" s="6"/>
      <c r="N304" s="1"/>
      <c r="O304" s="1"/>
      <c r="P304" s="1"/>
      <c r="Q304" s="1"/>
      <c r="R304" s="1"/>
      <c r="S304" s="1"/>
      <c r="T304" s="1"/>
      <c r="U304" s="1"/>
      <c r="V304" s="1"/>
      <c r="W304" s="1"/>
      <c r="X304" s="1"/>
      <c r="Y304" s="1"/>
      <c r="Z304" s="1"/>
      <c r="AA304" s="1"/>
      <c r="AB304" s="1"/>
    </row>
    <row r="305" hidden="1" outlineLevel="1">
      <c r="A305" s="1" t="s">
        <v>519</v>
      </c>
      <c r="B305" s="1" t="s">
        <v>520</v>
      </c>
      <c r="C305" s="1" t="s">
        <v>952</v>
      </c>
      <c r="D305" s="65" t="s">
        <v>953</v>
      </c>
      <c r="E305" s="27">
        <v>45090.0</v>
      </c>
      <c r="F305" s="1" t="s">
        <v>954</v>
      </c>
      <c r="G305" s="7" t="s">
        <v>955</v>
      </c>
      <c r="H305" s="16"/>
      <c r="I305" s="4"/>
      <c r="J305" s="4" t="b">
        <v>0</v>
      </c>
      <c r="K305" s="4" t="b">
        <v>0</v>
      </c>
      <c r="L305" s="1"/>
      <c r="M305" s="6"/>
      <c r="N305" s="1"/>
      <c r="O305" s="1"/>
      <c r="P305" s="1"/>
      <c r="Q305" s="1"/>
      <c r="R305" s="1"/>
      <c r="S305" s="1"/>
      <c r="T305" s="1"/>
      <c r="U305" s="1"/>
      <c r="V305" s="1"/>
      <c r="W305" s="1"/>
      <c r="X305" s="1"/>
      <c r="Y305" s="1"/>
      <c r="Z305" s="1"/>
      <c r="AA305" s="1"/>
      <c r="AB305" s="1"/>
    </row>
    <row r="306" hidden="1" outlineLevel="1">
      <c r="A306" s="1" t="s">
        <v>519</v>
      </c>
      <c r="B306" s="1" t="s">
        <v>594</v>
      </c>
      <c r="C306" s="1" t="s">
        <v>956</v>
      </c>
      <c r="D306" s="17" t="s">
        <v>957</v>
      </c>
      <c r="E306" s="27">
        <v>45456.0</v>
      </c>
      <c r="F306" s="1" t="s">
        <v>958</v>
      </c>
      <c r="G306" s="7" t="s">
        <v>959</v>
      </c>
      <c r="H306" s="16"/>
      <c r="I306" s="4"/>
      <c r="J306" s="4" t="b">
        <v>0</v>
      </c>
      <c r="K306" s="4" t="b">
        <v>0</v>
      </c>
      <c r="L306" s="1"/>
      <c r="M306" s="6"/>
      <c r="N306" s="1"/>
      <c r="O306" s="1"/>
      <c r="P306" s="1"/>
      <c r="Q306" s="1"/>
      <c r="R306" s="1"/>
      <c r="S306" s="1"/>
      <c r="T306" s="1"/>
      <c r="U306" s="1"/>
      <c r="V306" s="1"/>
      <c r="W306" s="1"/>
      <c r="X306" s="1"/>
      <c r="Y306" s="1"/>
      <c r="Z306" s="1"/>
      <c r="AA306" s="1"/>
      <c r="AB306" s="1"/>
    </row>
    <row r="307" hidden="1" outlineLevel="1">
      <c r="A307" s="1" t="s">
        <v>519</v>
      </c>
      <c r="B307" s="1" t="s">
        <v>520</v>
      </c>
      <c r="C307" s="1" t="s">
        <v>960</v>
      </c>
      <c r="D307" s="65" t="s">
        <v>961</v>
      </c>
      <c r="E307" s="27">
        <v>45455.0</v>
      </c>
      <c r="F307" s="1" t="s">
        <v>962</v>
      </c>
      <c r="G307" s="7" t="s">
        <v>963</v>
      </c>
      <c r="H307" s="16"/>
      <c r="I307" s="4"/>
      <c r="J307" s="4" t="b">
        <v>0</v>
      </c>
      <c r="K307" s="4" t="b">
        <v>0</v>
      </c>
      <c r="L307" s="1"/>
      <c r="M307" s="6"/>
      <c r="N307" s="1"/>
      <c r="O307" s="1"/>
      <c r="P307" s="1"/>
      <c r="Q307" s="1"/>
      <c r="R307" s="1"/>
      <c r="S307" s="1"/>
      <c r="T307" s="1"/>
      <c r="U307" s="1"/>
      <c r="V307" s="1"/>
      <c r="W307" s="1"/>
      <c r="X307" s="1"/>
      <c r="Y307" s="1"/>
      <c r="Z307" s="1"/>
      <c r="AA307" s="1"/>
      <c r="AB307" s="1"/>
    </row>
    <row r="308" hidden="1" outlineLevel="1">
      <c r="A308" s="1" t="s">
        <v>519</v>
      </c>
      <c r="B308" s="1" t="s">
        <v>599</v>
      </c>
      <c r="C308" s="1" t="s">
        <v>810</v>
      </c>
      <c r="D308" s="65" t="s">
        <v>964</v>
      </c>
      <c r="E308" s="27">
        <v>45462.0</v>
      </c>
      <c r="F308" s="1" t="s">
        <v>965</v>
      </c>
      <c r="G308" s="7" t="s">
        <v>813</v>
      </c>
      <c r="H308" s="16"/>
      <c r="I308" s="4"/>
      <c r="J308" s="4" t="b">
        <v>0</v>
      </c>
      <c r="K308" s="4" t="b">
        <v>0</v>
      </c>
      <c r="L308" s="1"/>
      <c r="M308" s="6"/>
      <c r="N308" s="1" t="s">
        <v>966</v>
      </c>
      <c r="O308" s="1"/>
      <c r="P308" s="1"/>
      <c r="Q308" s="1"/>
      <c r="R308" s="1"/>
      <c r="S308" s="1"/>
      <c r="T308" s="1"/>
      <c r="U308" s="1"/>
      <c r="V308" s="1"/>
      <c r="W308" s="1"/>
      <c r="X308" s="1"/>
      <c r="Y308" s="1"/>
      <c r="Z308" s="1"/>
      <c r="AA308" s="1"/>
      <c r="AB308" s="1"/>
    </row>
    <row r="309" hidden="1" outlineLevel="1">
      <c r="A309" s="1" t="s">
        <v>519</v>
      </c>
      <c r="B309" s="1" t="s">
        <v>599</v>
      </c>
      <c r="C309" s="7" t="s">
        <v>967</v>
      </c>
      <c r="D309" s="1" t="s">
        <v>968</v>
      </c>
      <c r="E309" s="27">
        <v>45456.0</v>
      </c>
      <c r="F309" s="1" t="s">
        <v>969</v>
      </c>
      <c r="G309" s="7" t="s">
        <v>970</v>
      </c>
      <c r="H309" s="9" t="s">
        <v>971</v>
      </c>
      <c r="I309" s="4"/>
      <c r="J309" s="4" t="b">
        <v>0</v>
      </c>
      <c r="K309" s="4" t="b">
        <v>0</v>
      </c>
      <c r="L309" s="1"/>
      <c r="M309" s="6"/>
      <c r="N309" s="1"/>
      <c r="O309" s="1"/>
      <c r="P309" s="1"/>
      <c r="Q309" s="1"/>
      <c r="R309" s="1"/>
      <c r="S309" s="1"/>
      <c r="T309" s="1"/>
      <c r="U309" s="1"/>
      <c r="V309" s="1"/>
      <c r="W309" s="1"/>
      <c r="X309" s="1"/>
      <c r="Y309" s="1"/>
      <c r="Z309" s="1"/>
      <c r="AA309" s="1"/>
      <c r="AB309" s="1"/>
    </row>
    <row r="310" hidden="1" outlineLevel="1">
      <c r="A310" s="1" t="s">
        <v>507</v>
      </c>
      <c r="B310" s="1" t="s">
        <v>599</v>
      </c>
      <c r="C310" s="1" t="s">
        <v>972</v>
      </c>
      <c r="D310" s="65" t="s">
        <v>973</v>
      </c>
      <c r="E310" s="27">
        <v>45481.0</v>
      </c>
      <c r="F310" s="1" t="s">
        <v>974</v>
      </c>
      <c r="G310" s="29" t="s">
        <v>975</v>
      </c>
      <c r="H310" s="16"/>
      <c r="I310" s="4"/>
      <c r="J310" s="4" t="b">
        <v>0</v>
      </c>
      <c r="K310" s="4" t="b">
        <v>0</v>
      </c>
      <c r="L310" s="1"/>
      <c r="M310" s="6"/>
      <c r="N310" s="1" t="s">
        <v>976</v>
      </c>
      <c r="O310" s="1"/>
      <c r="P310" s="1"/>
      <c r="Q310" s="1"/>
      <c r="R310" s="1"/>
      <c r="S310" s="1"/>
      <c r="T310" s="1"/>
      <c r="U310" s="1"/>
      <c r="V310" s="1"/>
      <c r="W310" s="1"/>
      <c r="X310" s="1"/>
      <c r="Y310" s="1"/>
      <c r="Z310" s="1"/>
      <c r="AA310" s="1"/>
      <c r="AB310" s="1"/>
    </row>
    <row r="311" hidden="1" outlineLevel="1">
      <c r="A311" s="1" t="s">
        <v>507</v>
      </c>
      <c r="B311" s="1" t="s">
        <v>569</v>
      </c>
      <c r="C311" s="1" t="s">
        <v>977</v>
      </c>
      <c r="D311" s="48" t="s">
        <v>978</v>
      </c>
      <c r="E311" s="27">
        <v>45482.0</v>
      </c>
      <c r="F311" s="34" t="s">
        <v>979</v>
      </c>
      <c r="G311" s="7" t="s">
        <v>980</v>
      </c>
      <c r="H311" s="16"/>
      <c r="I311" s="4"/>
      <c r="J311" s="4" t="b">
        <v>0</v>
      </c>
      <c r="K311" s="4" t="b">
        <v>0</v>
      </c>
      <c r="L311" s="1"/>
      <c r="M311" s="6"/>
      <c r="N311" s="1"/>
      <c r="O311" s="1"/>
      <c r="P311" s="1"/>
      <c r="Q311" s="1"/>
      <c r="R311" s="1"/>
      <c r="S311" s="1"/>
      <c r="T311" s="1"/>
      <c r="U311" s="1"/>
      <c r="V311" s="1"/>
      <c r="W311" s="1"/>
      <c r="X311" s="1"/>
      <c r="Y311" s="1"/>
      <c r="Z311" s="1"/>
      <c r="AA311" s="1"/>
      <c r="AB311" s="1"/>
    </row>
    <row r="312" hidden="1" outlineLevel="1">
      <c r="A312" s="1" t="s">
        <v>507</v>
      </c>
      <c r="B312" s="1" t="s">
        <v>599</v>
      </c>
      <c r="C312" s="1" t="s">
        <v>981</v>
      </c>
      <c r="D312" s="61" t="s">
        <v>982</v>
      </c>
      <c r="E312" s="27">
        <v>45477.0</v>
      </c>
      <c r="F312" s="1" t="s">
        <v>983</v>
      </c>
      <c r="G312" s="7" t="s">
        <v>984</v>
      </c>
      <c r="H312" s="16"/>
      <c r="I312" s="4"/>
      <c r="J312" s="4" t="b">
        <v>0</v>
      </c>
      <c r="K312" s="4" t="b">
        <v>0</v>
      </c>
      <c r="L312" s="1"/>
      <c r="M312" s="6"/>
      <c r="N312" s="1"/>
      <c r="O312" s="1"/>
      <c r="P312" s="1"/>
      <c r="Q312" s="1"/>
      <c r="R312" s="1"/>
      <c r="S312" s="1"/>
      <c r="T312" s="1"/>
      <c r="U312" s="1"/>
      <c r="V312" s="1"/>
      <c r="W312" s="1"/>
      <c r="X312" s="1"/>
      <c r="Y312" s="1"/>
      <c r="Z312" s="1"/>
      <c r="AA312" s="1"/>
      <c r="AB312" s="1"/>
    </row>
    <row r="313" hidden="1" outlineLevel="1">
      <c r="A313" s="1" t="s">
        <v>507</v>
      </c>
      <c r="B313" s="1" t="s">
        <v>520</v>
      </c>
      <c r="C313" s="51" t="s">
        <v>985</v>
      </c>
      <c r="D313" s="31" t="s">
        <v>986</v>
      </c>
      <c r="E313" s="27">
        <v>45482.0</v>
      </c>
      <c r="F313" s="1" t="s">
        <v>987</v>
      </c>
      <c r="G313" s="7" t="s">
        <v>988</v>
      </c>
      <c r="H313" s="9" t="s">
        <v>989</v>
      </c>
      <c r="I313" s="4"/>
      <c r="J313" s="4" t="b">
        <v>0</v>
      </c>
      <c r="K313" s="4" t="b">
        <v>0</v>
      </c>
      <c r="L313" s="1"/>
      <c r="M313" s="6"/>
      <c r="N313" s="1"/>
      <c r="O313" s="1"/>
      <c r="P313" s="1"/>
      <c r="Q313" s="1"/>
      <c r="R313" s="1"/>
      <c r="S313" s="1"/>
      <c r="T313" s="1"/>
      <c r="U313" s="1"/>
      <c r="V313" s="1"/>
      <c r="W313" s="1"/>
      <c r="X313" s="1"/>
      <c r="Y313" s="1"/>
      <c r="Z313" s="1"/>
      <c r="AA313" s="1"/>
      <c r="AB313" s="1"/>
    </row>
    <row r="314" hidden="1" outlineLevel="1">
      <c r="A314" s="1" t="s">
        <v>507</v>
      </c>
      <c r="B314" s="1" t="s">
        <v>569</v>
      </c>
      <c r="C314" s="1" t="s">
        <v>990</v>
      </c>
      <c r="D314" s="34" t="s">
        <v>991</v>
      </c>
      <c r="E314" s="27">
        <v>45476.0</v>
      </c>
      <c r="F314" s="35" t="s">
        <v>992</v>
      </c>
      <c r="G314" s="7" t="s">
        <v>993</v>
      </c>
      <c r="H314" s="16"/>
      <c r="I314" s="4"/>
      <c r="J314" s="4" t="b">
        <v>0</v>
      </c>
      <c r="K314" s="4" t="b">
        <v>0</v>
      </c>
      <c r="L314" s="1"/>
      <c r="M314" s="6"/>
      <c r="N314" s="1" t="s">
        <v>994</v>
      </c>
      <c r="O314" s="1"/>
      <c r="P314" s="1"/>
      <c r="Q314" s="1"/>
      <c r="R314" s="1"/>
      <c r="S314" s="1"/>
      <c r="T314" s="1"/>
      <c r="U314" s="1"/>
      <c r="V314" s="1"/>
      <c r="W314" s="1"/>
      <c r="X314" s="1"/>
      <c r="Y314" s="1"/>
      <c r="Z314" s="1"/>
      <c r="AA314" s="1"/>
      <c r="AB314" s="1"/>
    </row>
    <row r="315" hidden="1" outlineLevel="1">
      <c r="A315" s="1" t="s">
        <v>507</v>
      </c>
      <c r="B315" s="1" t="s">
        <v>569</v>
      </c>
      <c r="C315" s="1" t="s">
        <v>995</v>
      </c>
      <c r="D315" s="17" t="s">
        <v>996</v>
      </c>
      <c r="E315" s="27">
        <v>45423.0</v>
      </c>
      <c r="F315" s="1" t="s">
        <v>997</v>
      </c>
      <c r="G315" s="7" t="s">
        <v>998</v>
      </c>
      <c r="H315" s="9" t="s">
        <v>999</v>
      </c>
      <c r="I315" s="4"/>
      <c r="J315" s="4"/>
      <c r="K315" s="4"/>
      <c r="L315" s="1"/>
      <c r="M315" s="6"/>
      <c r="N315" s="32" t="s">
        <v>1000</v>
      </c>
      <c r="O315" s="32"/>
      <c r="P315" s="32"/>
      <c r="Q315" s="32"/>
      <c r="R315" s="32"/>
      <c r="S315" s="32"/>
      <c r="T315" s="32"/>
      <c r="U315" s="32"/>
      <c r="V315" s="32"/>
      <c r="W315" s="32"/>
      <c r="X315" s="32"/>
      <c r="Y315" s="32"/>
      <c r="Z315" s="32"/>
      <c r="AA315" s="32"/>
      <c r="AB315" s="32"/>
    </row>
    <row r="316" hidden="1" outlineLevel="1">
      <c r="A316" s="1" t="s">
        <v>507</v>
      </c>
      <c r="B316" s="1" t="s">
        <v>520</v>
      </c>
      <c r="C316" s="1" t="s">
        <v>1001</v>
      </c>
      <c r="D316" s="17" t="s">
        <v>1002</v>
      </c>
      <c r="E316" s="27">
        <v>45487.0</v>
      </c>
      <c r="F316" s="1" t="s">
        <v>1003</v>
      </c>
      <c r="G316" s="7" t="s">
        <v>1004</v>
      </c>
      <c r="H316" s="9" t="s">
        <v>1005</v>
      </c>
      <c r="I316" s="4"/>
      <c r="J316" s="4" t="b">
        <v>0</v>
      </c>
      <c r="K316" s="4" t="b">
        <v>0</v>
      </c>
      <c r="L316" s="1"/>
      <c r="M316" s="6"/>
      <c r="N316" s="1"/>
      <c r="O316" s="1"/>
      <c r="P316" s="1"/>
      <c r="Q316" s="1"/>
      <c r="R316" s="1"/>
      <c r="S316" s="1"/>
      <c r="T316" s="1"/>
      <c r="U316" s="1"/>
      <c r="V316" s="1"/>
      <c r="W316" s="1"/>
      <c r="X316" s="1"/>
      <c r="Y316" s="1"/>
      <c r="Z316" s="1"/>
      <c r="AA316" s="1"/>
      <c r="AB316" s="1"/>
    </row>
    <row r="317" hidden="1" outlineLevel="1">
      <c r="A317" s="1" t="s">
        <v>574</v>
      </c>
      <c r="B317" s="1" t="s">
        <v>599</v>
      </c>
      <c r="C317" s="1" t="s">
        <v>1006</v>
      </c>
      <c r="D317" s="61" t="s">
        <v>1007</v>
      </c>
      <c r="E317" s="27">
        <v>45442.0</v>
      </c>
      <c r="F317" s="1" t="s">
        <v>1008</v>
      </c>
      <c r="G317" s="7" t="s">
        <v>1009</v>
      </c>
      <c r="H317" s="16"/>
      <c r="I317" s="4"/>
      <c r="J317" s="4" t="b">
        <v>0</v>
      </c>
      <c r="K317" s="4" t="b">
        <v>0</v>
      </c>
      <c r="L317" s="1"/>
      <c r="M317" s="6"/>
      <c r="N317" s="1"/>
      <c r="O317" s="1"/>
      <c r="P317" s="1"/>
      <c r="Q317" s="1"/>
      <c r="R317" s="1"/>
      <c r="S317" s="1"/>
      <c r="T317" s="1"/>
      <c r="U317" s="1"/>
      <c r="V317" s="1"/>
      <c r="W317" s="1"/>
      <c r="X317" s="1"/>
      <c r="Y317" s="1"/>
      <c r="Z317" s="1"/>
      <c r="AA317" s="1"/>
      <c r="AB317" s="1"/>
    </row>
    <row r="318" hidden="1" outlineLevel="1">
      <c r="A318" s="1" t="s">
        <v>574</v>
      </c>
      <c r="B318" s="1" t="s">
        <v>680</v>
      </c>
      <c r="C318" s="1" t="s">
        <v>1010</v>
      </c>
      <c r="D318" s="61" t="s">
        <v>1011</v>
      </c>
      <c r="E318" s="62">
        <v>45187.0</v>
      </c>
      <c r="F318" s="1" t="s">
        <v>1012</v>
      </c>
      <c r="G318" s="7" t="s">
        <v>1013</v>
      </c>
      <c r="H318" s="16"/>
      <c r="I318" s="4"/>
      <c r="J318" s="4" t="b">
        <v>0</v>
      </c>
      <c r="K318" s="4" t="b">
        <v>0</v>
      </c>
      <c r="L318" s="1"/>
      <c r="M318" s="6"/>
      <c r="N318" s="1" t="s">
        <v>1014</v>
      </c>
      <c r="O318" s="1"/>
      <c r="P318" s="1"/>
      <c r="Q318" s="1"/>
      <c r="R318" s="1"/>
      <c r="S318" s="1"/>
      <c r="T318" s="1"/>
      <c r="U318" s="1"/>
      <c r="V318" s="1"/>
      <c r="W318" s="1"/>
      <c r="X318" s="1"/>
      <c r="Y318" s="1"/>
      <c r="Z318" s="1"/>
      <c r="AA318" s="1"/>
      <c r="AB318" s="1"/>
    </row>
    <row r="319" collapsed="1">
      <c r="A319" s="1"/>
      <c r="B319" s="1"/>
      <c r="C319" s="1"/>
      <c r="D319" s="1"/>
      <c r="E319" s="28" t="s">
        <v>1015</v>
      </c>
      <c r="F319" s="1"/>
      <c r="G319" s="5"/>
      <c r="H319" s="16"/>
      <c r="I319" s="4"/>
      <c r="J319" s="4" t="b">
        <v>0</v>
      </c>
      <c r="K319" s="4" t="b">
        <v>0</v>
      </c>
      <c r="L319" s="1"/>
      <c r="M319" s="6"/>
      <c r="N319" s="1"/>
      <c r="O319" s="1"/>
      <c r="P319" s="1"/>
      <c r="Q319" s="1"/>
      <c r="R319" s="1"/>
      <c r="S319" s="1"/>
      <c r="T319" s="1"/>
      <c r="U319" s="1"/>
      <c r="V319" s="1"/>
      <c r="W319" s="1"/>
      <c r="X319" s="1"/>
      <c r="Y319" s="1"/>
      <c r="Z319" s="1"/>
      <c r="AA319" s="1"/>
      <c r="AB319" s="1"/>
    </row>
    <row r="320" ht="106.5" hidden="1" customHeight="1" outlineLevel="1">
      <c r="A320" s="1" t="s">
        <v>519</v>
      </c>
      <c r="B320" s="1" t="s">
        <v>537</v>
      </c>
      <c r="C320" s="7" t="s">
        <v>1016</v>
      </c>
      <c r="D320" s="17" t="s">
        <v>1017</v>
      </c>
      <c r="E320" s="27">
        <v>45323.0</v>
      </c>
      <c r="F320" s="1" t="s">
        <v>1018</v>
      </c>
      <c r="G320" s="7" t="s">
        <v>1019</v>
      </c>
      <c r="H320" s="9" t="s">
        <v>1020</v>
      </c>
      <c r="I320" s="4"/>
      <c r="J320" s="4" t="b">
        <v>0</v>
      </c>
      <c r="K320" s="4" t="b">
        <v>0</v>
      </c>
      <c r="L320" s="1"/>
      <c r="M320" s="6"/>
      <c r="N320" s="1"/>
      <c r="O320" s="1"/>
      <c r="P320" s="1"/>
      <c r="Q320" s="1"/>
      <c r="R320" s="1"/>
      <c r="S320" s="1"/>
      <c r="T320" s="1"/>
      <c r="U320" s="1"/>
      <c r="V320" s="1"/>
      <c r="W320" s="1"/>
      <c r="X320" s="1"/>
      <c r="Y320" s="1"/>
      <c r="Z320" s="1"/>
      <c r="AA320" s="1"/>
      <c r="AB320" s="1"/>
    </row>
    <row r="321" hidden="1" outlineLevel="1">
      <c r="A321" s="1" t="s">
        <v>519</v>
      </c>
      <c r="B321" s="1" t="s">
        <v>520</v>
      </c>
      <c r="C321" s="1" t="s">
        <v>1021</v>
      </c>
      <c r="D321" s="1" t="s">
        <v>1022</v>
      </c>
      <c r="E321" s="27">
        <v>45461.0</v>
      </c>
      <c r="F321" s="1" t="s">
        <v>1023</v>
      </c>
      <c r="G321" s="7" t="s">
        <v>1024</v>
      </c>
      <c r="H321" s="16"/>
      <c r="I321" s="4"/>
      <c r="J321" s="4" t="b">
        <v>0</v>
      </c>
      <c r="K321" s="4" t="b">
        <v>0</v>
      </c>
      <c r="L321" s="1"/>
      <c r="M321" s="6"/>
      <c r="N321" s="1"/>
      <c r="O321" s="1"/>
      <c r="P321" s="1"/>
      <c r="Q321" s="1"/>
      <c r="R321" s="1"/>
      <c r="S321" s="1"/>
      <c r="T321" s="1"/>
      <c r="U321" s="1"/>
      <c r="V321" s="1"/>
      <c r="W321" s="1"/>
      <c r="X321" s="1"/>
      <c r="Y321" s="1"/>
      <c r="Z321" s="1"/>
      <c r="AA321" s="1"/>
      <c r="AB321" s="1"/>
    </row>
    <row r="322" hidden="1" outlineLevel="1">
      <c r="A322" s="1" t="s">
        <v>519</v>
      </c>
      <c r="B322" s="1" t="s">
        <v>529</v>
      </c>
      <c r="C322" s="7" t="s">
        <v>1025</v>
      </c>
      <c r="D322" s="17" t="s">
        <v>1026</v>
      </c>
      <c r="E322" s="27">
        <v>45472.0</v>
      </c>
      <c r="F322" s="1" t="s">
        <v>1027</v>
      </c>
      <c r="G322" s="7" t="s">
        <v>1028</v>
      </c>
      <c r="H322" s="16"/>
      <c r="I322" s="4"/>
      <c r="J322" s="4" t="b">
        <v>0</v>
      </c>
      <c r="K322" s="4" t="b">
        <v>0</v>
      </c>
      <c r="L322" s="1"/>
      <c r="M322" s="6"/>
      <c r="N322" s="1"/>
      <c r="O322" s="1"/>
      <c r="P322" s="1"/>
      <c r="Q322" s="1"/>
      <c r="R322" s="1"/>
      <c r="S322" s="1"/>
      <c r="T322" s="1"/>
      <c r="U322" s="1"/>
      <c r="V322" s="1"/>
      <c r="W322" s="1"/>
      <c r="X322" s="1"/>
      <c r="Y322" s="1"/>
      <c r="Z322" s="1"/>
      <c r="AA322" s="1"/>
      <c r="AB322" s="1"/>
    </row>
    <row r="323" hidden="1" outlineLevel="1">
      <c r="A323" s="1" t="s">
        <v>507</v>
      </c>
      <c r="B323" s="1" t="s">
        <v>799</v>
      </c>
      <c r="C323" s="66" t="s">
        <v>1029</v>
      </c>
      <c r="D323" s="1" t="s">
        <v>1030</v>
      </c>
      <c r="E323" s="27">
        <v>45481.0</v>
      </c>
      <c r="F323" s="1" t="s">
        <v>1031</v>
      </c>
      <c r="G323" s="7" t="s">
        <v>1032</v>
      </c>
      <c r="H323" s="16"/>
      <c r="I323" s="4"/>
      <c r="J323" s="4" t="b">
        <v>0</v>
      </c>
      <c r="K323" s="4" t="b">
        <v>0</v>
      </c>
      <c r="L323" s="1"/>
      <c r="M323" s="6"/>
      <c r="N323" s="1"/>
      <c r="O323" s="1"/>
      <c r="P323" s="1"/>
      <c r="Q323" s="1"/>
      <c r="R323" s="1"/>
      <c r="S323" s="1"/>
      <c r="T323" s="1"/>
      <c r="U323" s="1"/>
      <c r="V323" s="1"/>
      <c r="W323" s="1"/>
      <c r="X323" s="1"/>
      <c r="Y323" s="1"/>
      <c r="Z323" s="1"/>
      <c r="AA323" s="1"/>
      <c r="AB323" s="1"/>
    </row>
    <row r="324" hidden="1" outlineLevel="1">
      <c r="A324" s="1" t="s">
        <v>507</v>
      </c>
      <c r="B324" s="1" t="s">
        <v>520</v>
      </c>
      <c r="C324" s="1" t="s">
        <v>827</v>
      </c>
      <c r="D324" s="1" t="s">
        <v>1033</v>
      </c>
      <c r="E324" s="27">
        <v>45477.0</v>
      </c>
      <c r="F324" s="1" t="s">
        <v>1034</v>
      </c>
      <c r="G324" s="7" t="s">
        <v>1035</v>
      </c>
      <c r="H324" s="16"/>
      <c r="I324" s="4"/>
      <c r="J324" s="4" t="b">
        <v>0</v>
      </c>
      <c r="K324" s="4" t="b">
        <v>0</v>
      </c>
      <c r="L324" s="1"/>
      <c r="M324" s="6"/>
      <c r="N324" s="1" t="s">
        <v>1036</v>
      </c>
      <c r="O324" s="1"/>
      <c r="P324" s="1"/>
      <c r="Q324" s="1"/>
      <c r="R324" s="1"/>
      <c r="S324" s="1"/>
      <c r="T324" s="1"/>
      <c r="U324" s="1"/>
      <c r="V324" s="1"/>
      <c r="W324" s="1"/>
      <c r="X324" s="1"/>
      <c r="Y324" s="1"/>
      <c r="Z324" s="1"/>
      <c r="AA324" s="1"/>
      <c r="AB324" s="1"/>
    </row>
    <row r="325" hidden="1" outlineLevel="1">
      <c r="A325" s="1" t="s">
        <v>507</v>
      </c>
      <c r="B325" s="1" t="s">
        <v>599</v>
      </c>
      <c r="C325" s="1" t="s">
        <v>1037</v>
      </c>
      <c r="D325" s="1" t="s">
        <v>1038</v>
      </c>
      <c r="E325" s="27">
        <v>45469.0</v>
      </c>
      <c r="F325" s="1" t="s">
        <v>1039</v>
      </c>
      <c r="G325" s="7" t="s">
        <v>1040</v>
      </c>
      <c r="H325" s="9" t="s">
        <v>1041</v>
      </c>
      <c r="I325" s="4"/>
      <c r="J325" s="4" t="b">
        <v>0</v>
      </c>
      <c r="K325" s="4" t="b">
        <v>0</v>
      </c>
      <c r="L325" s="1"/>
      <c r="M325" s="6"/>
      <c r="N325" s="1"/>
      <c r="O325" s="1"/>
      <c r="P325" s="1"/>
      <c r="Q325" s="1"/>
      <c r="R325" s="1"/>
      <c r="S325" s="1"/>
      <c r="T325" s="1"/>
      <c r="U325" s="1"/>
      <c r="V325" s="1"/>
      <c r="W325" s="1"/>
      <c r="X325" s="1"/>
      <c r="Y325" s="1"/>
      <c r="Z325" s="1"/>
      <c r="AA325" s="1"/>
      <c r="AB325" s="1"/>
    </row>
    <row r="326" ht="165.0" hidden="1" customHeight="1" outlineLevel="1">
      <c r="A326" s="1" t="s">
        <v>507</v>
      </c>
      <c r="B326" s="1" t="s">
        <v>520</v>
      </c>
      <c r="C326" s="1" t="s">
        <v>509</v>
      </c>
      <c r="D326" s="17" t="s">
        <v>1042</v>
      </c>
      <c r="E326" s="27">
        <v>45470.0</v>
      </c>
      <c r="F326" s="1" t="s">
        <v>1043</v>
      </c>
      <c r="G326" s="7" t="s">
        <v>1044</v>
      </c>
      <c r="H326" s="16"/>
      <c r="I326" s="4"/>
      <c r="J326" s="4" t="b">
        <v>0</v>
      </c>
      <c r="K326" s="4" t="b">
        <v>0</v>
      </c>
      <c r="L326" s="1"/>
      <c r="M326" s="6"/>
      <c r="N326" s="1"/>
      <c r="O326" s="1"/>
      <c r="P326" s="1"/>
      <c r="Q326" s="1"/>
      <c r="R326" s="1"/>
      <c r="S326" s="1"/>
      <c r="T326" s="1"/>
      <c r="U326" s="1"/>
      <c r="V326" s="1"/>
      <c r="W326" s="1"/>
      <c r="X326" s="1"/>
      <c r="Y326" s="1"/>
      <c r="Z326" s="1"/>
      <c r="AA326" s="1"/>
      <c r="AB326" s="1"/>
    </row>
    <row r="327" hidden="1" outlineLevel="1">
      <c r="A327" s="1" t="s">
        <v>507</v>
      </c>
      <c r="B327" s="1" t="s">
        <v>680</v>
      </c>
      <c r="C327" s="1" t="s">
        <v>1045</v>
      </c>
      <c r="D327" s="17" t="s">
        <v>1046</v>
      </c>
      <c r="E327" s="27">
        <v>45434.0</v>
      </c>
      <c r="F327" s="1" t="s">
        <v>1047</v>
      </c>
      <c r="G327" s="7" t="s">
        <v>1048</v>
      </c>
      <c r="H327" s="9" t="s">
        <v>1049</v>
      </c>
      <c r="I327" s="4"/>
      <c r="J327" s="4" t="b">
        <v>0</v>
      </c>
      <c r="K327" s="4" t="b">
        <v>0</v>
      </c>
      <c r="L327" s="1" t="s">
        <v>1050</v>
      </c>
      <c r="M327" s="6"/>
      <c r="N327" s="1"/>
      <c r="O327" s="1"/>
      <c r="P327" s="1"/>
      <c r="Q327" s="1"/>
      <c r="R327" s="1"/>
      <c r="S327" s="1"/>
      <c r="T327" s="1"/>
      <c r="U327" s="1"/>
      <c r="V327" s="1"/>
      <c r="W327" s="1"/>
      <c r="X327" s="1"/>
      <c r="Y327" s="1"/>
      <c r="Z327" s="1"/>
      <c r="AA327" s="1"/>
      <c r="AB327" s="1"/>
    </row>
    <row r="328" hidden="1" outlineLevel="1">
      <c r="A328" s="1" t="s">
        <v>507</v>
      </c>
      <c r="B328" s="1" t="s">
        <v>680</v>
      </c>
      <c r="C328" s="1" t="s">
        <v>1051</v>
      </c>
      <c r="D328" s="1" t="s">
        <v>1052</v>
      </c>
      <c r="E328" s="27">
        <v>45484.0</v>
      </c>
      <c r="F328" s="1" t="s">
        <v>1053</v>
      </c>
      <c r="G328" s="7" t="s">
        <v>1054</v>
      </c>
      <c r="H328" s="16"/>
      <c r="I328" s="4"/>
      <c r="J328" s="4" t="b">
        <v>0</v>
      </c>
      <c r="K328" s="4" t="b">
        <v>0</v>
      </c>
      <c r="L328" s="1"/>
      <c r="M328" s="6"/>
      <c r="N328" s="1"/>
      <c r="O328" s="1"/>
      <c r="P328" s="1"/>
      <c r="Q328" s="1"/>
      <c r="R328" s="1"/>
      <c r="S328" s="1"/>
      <c r="T328" s="1"/>
      <c r="U328" s="1"/>
      <c r="V328" s="1"/>
      <c r="W328" s="1"/>
      <c r="X328" s="1"/>
      <c r="Y328" s="1"/>
      <c r="Z328" s="1"/>
      <c r="AA328" s="1"/>
      <c r="AB328" s="1"/>
    </row>
    <row r="329" hidden="1" outlineLevel="1">
      <c r="A329" s="1" t="s">
        <v>507</v>
      </c>
      <c r="B329" s="1" t="s">
        <v>520</v>
      </c>
      <c r="C329" s="1" t="s">
        <v>509</v>
      </c>
      <c r="D329" s="1" t="s">
        <v>1055</v>
      </c>
      <c r="E329" s="27">
        <v>45474.0</v>
      </c>
      <c r="F329" s="1" t="s">
        <v>1056</v>
      </c>
      <c r="G329" s="7" t="s">
        <v>1057</v>
      </c>
      <c r="H329" s="9" t="s">
        <v>1058</v>
      </c>
      <c r="I329" s="4"/>
      <c r="J329" s="4" t="b">
        <v>0</v>
      </c>
      <c r="K329" s="4" t="b">
        <v>0</v>
      </c>
      <c r="L329" s="1"/>
      <c r="M329" s="6"/>
      <c r="N329" s="1"/>
      <c r="O329" s="1"/>
      <c r="P329" s="1"/>
      <c r="Q329" s="1"/>
      <c r="R329" s="1"/>
      <c r="S329" s="1"/>
      <c r="T329" s="1"/>
      <c r="U329" s="1"/>
      <c r="V329" s="1"/>
      <c r="W329" s="1"/>
      <c r="X329" s="1"/>
      <c r="Y329" s="1"/>
      <c r="Z329" s="1"/>
      <c r="AA329" s="1"/>
      <c r="AB329" s="1"/>
    </row>
    <row r="330" hidden="1" outlineLevel="1">
      <c r="A330" s="1" t="s">
        <v>574</v>
      </c>
      <c r="B330" s="1" t="s">
        <v>680</v>
      </c>
      <c r="C330" s="1" t="s">
        <v>1059</v>
      </c>
      <c r="D330" s="5" t="s">
        <v>1060</v>
      </c>
      <c r="E330" s="27">
        <v>45460.0</v>
      </c>
      <c r="F330" s="1" t="s">
        <v>1061</v>
      </c>
      <c r="G330" s="7" t="s">
        <v>1062</v>
      </c>
      <c r="H330" s="16"/>
      <c r="I330" s="4"/>
      <c r="J330" s="4" t="b">
        <v>0</v>
      </c>
      <c r="K330" s="4" t="b">
        <v>0</v>
      </c>
      <c r="L330" s="1"/>
      <c r="M330" s="6"/>
      <c r="N330" s="1" t="s">
        <v>1063</v>
      </c>
      <c r="O330" s="1"/>
      <c r="P330" s="1"/>
      <c r="Q330" s="1"/>
      <c r="R330" s="1"/>
      <c r="S330" s="1"/>
      <c r="T330" s="1"/>
      <c r="U330" s="1"/>
      <c r="V330" s="1"/>
      <c r="W330" s="1"/>
      <c r="X330" s="1"/>
      <c r="Y330" s="1"/>
      <c r="Z330" s="1"/>
      <c r="AA330" s="1"/>
      <c r="AB330" s="1"/>
    </row>
    <row r="331" hidden="1" outlineLevel="1">
      <c r="A331" s="1" t="s">
        <v>574</v>
      </c>
      <c r="B331" s="1" t="s">
        <v>529</v>
      </c>
      <c r="C331" s="1" t="s">
        <v>1021</v>
      </c>
      <c r="D331" s="17" t="s">
        <v>1064</v>
      </c>
      <c r="E331" s="27">
        <v>45460.0</v>
      </c>
      <c r="F331" s="1" t="s">
        <v>1065</v>
      </c>
      <c r="G331" s="7" t="s">
        <v>1066</v>
      </c>
      <c r="H331" s="16"/>
      <c r="I331" s="4"/>
      <c r="J331" s="4" t="b">
        <v>0</v>
      </c>
      <c r="K331" s="4" t="b">
        <v>0</v>
      </c>
      <c r="L331" s="1"/>
      <c r="M331" s="6"/>
      <c r="N331" s="1"/>
      <c r="O331" s="1"/>
      <c r="P331" s="1"/>
      <c r="Q331" s="1"/>
      <c r="R331" s="1"/>
      <c r="S331" s="1"/>
      <c r="T331" s="1"/>
      <c r="U331" s="1"/>
      <c r="V331" s="1"/>
      <c r="W331" s="1"/>
      <c r="X331" s="1"/>
      <c r="Y331" s="1"/>
      <c r="Z331" s="1"/>
      <c r="AA331" s="1"/>
      <c r="AB331" s="1"/>
    </row>
    <row r="332" hidden="1" outlineLevel="1">
      <c r="A332" s="1" t="s">
        <v>574</v>
      </c>
      <c r="B332" s="1" t="s">
        <v>529</v>
      </c>
      <c r="C332" s="1" t="s">
        <v>1021</v>
      </c>
      <c r="D332" s="1" t="s">
        <v>1067</v>
      </c>
      <c r="E332" s="27">
        <v>45457.0</v>
      </c>
      <c r="F332" s="1" t="s">
        <v>1068</v>
      </c>
      <c r="G332" s="7" t="s">
        <v>1069</v>
      </c>
      <c r="H332" s="16"/>
      <c r="I332" s="4"/>
      <c r="J332" s="4" t="b">
        <v>0</v>
      </c>
      <c r="K332" s="4" t="b">
        <v>0</v>
      </c>
      <c r="L332" s="1"/>
      <c r="M332" s="6"/>
      <c r="N332" s="1" t="s">
        <v>1070</v>
      </c>
      <c r="O332" s="1"/>
      <c r="P332" s="1"/>
      <c r="Q332" s="1"/>
      <c r="R332" s="1"/>
      <c r="S332" s="1"/>
      <c r="T332" s="1"/>
      <c r="U332" s="1"/>
      <c r="V332" s="1"/>
      <c r="W332" s="1"/>
      <c r="X332" s="1"/>
      <c r="Y332" s="1"/>
      <c r="Z332" s="1"/>
      <c r="AA332" s="1"/>
      <c r="AB332" s="1"/>
    </row>
    <row r="333" collapsed="1">
      <c r="A333" s="1"/>
      <c r="B333" s="1"/>
      <c r="C333" s="1"/>
      <c r="D333" s="1"/>
      <c r="E333" s="28" t="s">
        <v>1071</v>
      </c>
      <c r="F333" s="1"/>
      <c r="G333" s="5"/>
      <c r="H333" s="16"/>
      <c r="I333" s="4"/>
      <c r="J333" s="4" t="b">
        <v>0</v>
      </c>
      <c r="K333" s="4" t="b">
        <v>0</v>
      </c>
      <c r="L333" s="1"/>
      <c r="M333" s="6"/>
      <c r="N333" s="1"/>
      <c r="O333" s="1"/>
      <c r="P333" s="1"/>
      <c r="Q333" s="1"/>
      <c r="R333" s="1"/>
      <c r="S333" s="1"/>
      <c r="T333" s="1"/>
      <c r="U333" s="1"/>
      <c r="V333" s="1"/>
      <c r="W333" s="1"/>
      <c r="X333" s="1"/>
      <c r="Y333" s="1"/>
      <c r="Z333" s="1"/>
      <c r="AA333" s="1"/>
      <c r="AB333" s="1"/>
    </row>
    <row r="334" hidden="1" outlineLevel="1">
      <c r="A334" s="1" t="s">
        <v>519</v>
      </c>
      <c r="B334" s="1" t="s">
        <v>529</v>
      </c>
      <c r="C334" s="1" t="s">
        <v>1072</v>
      </c>
      <c r="D334" s="1" t="s">
        <v>1073</v>
      </c>
      <c r="E334" s="27">
        <v>45428.0</v>
      </c>
      <c r="F334" s="1" t="s">
        <v>1074</v>
      </c>
      <c r="G334" s="7" t="s">
        <v>1075</v>
      </c>
      <c r="H334" s="16"/>
      <c r="I334" s="4"/>
      <c r="J334" s="4" t="b">
        <v>0</v>
      </c>
      <c r="K334" s="4" t="b">
        <v>0</v>
      </c>
      <c r="L334" s="1" t="s">
        <v>1076</v>
      </c>
      <c r="M334" s="6"/>
      <c r="N334" s="1"/>
      <c r="O334" s="1"/>
      <c r="P334" s="1"/>
      <c r="Q334" s="1"/>
      <c r="R334" s="1"/>
      <c r="S334" s="1"/>
      <c r="T334" s="1"/>
      <c r="U334" s="1"/>
      <c r="V334" s="1"/>
      <c r="W334" s="1"/>
      <c r="X334" s="1"/>
      <c r="Y334" s="1"/>
      <c r="Z334" s="1"/>
      <c r="AA334" s="1"/>
      <c r="AB334" s="1"/>
    </row>
    <row r="335" ht="124.5" hidden="1" customHeight="1" outlineLevel="1">
      <c r="A335" s="1" t="s">
        <v>519</v>
      </c>
      <c r="B335" s="1" t="s">
        <v>599</v>
      </c>
      <c r="C335" s="1" t="s">
        <v>1077</v>
      </c>
      <c r="D335" s="1" t="s">
        <v>1078</v>
      </c>
      <c r="E335" s="27">
        <v>45485.0</v>
      </c>
      <c r="F335" s="1" t="s">
        <v>1079</v>
      </c>
      <c r="G335" s="7" t="s">
        <v>1080</v>
      </c>
      <c r="H335" s="16"/>
      <c r="I335" s="4"/>
      <c r="J335" s="4" t="b">
        <v>0</v>
      </c>
      <c r="K335" s="4" t="b">
        <v>0</v>
      </c>
      <c r="L335" s="32" t="s">
        <v>1081</v>
      </c>
      <c r="M335" s="6"/>
      <c r="N335" s="67" t="s">
        <v>1082</v>
      </c>
      <c r="O335" s="68"/>
      <c r="P335" s="68"/>
      <c r="Q335" s="68"/>
      <c r="R335" s="68"/>
      <c r="S335" s="68"/>
      <c r="T335" s="68"/>
      <c r="U335" s="68"/>
      <c r="V335" s="68"/>
      <c r="W335" s="68"/>
      <c r="X335" s="68"/>
      <c r="Y335" s="68"/>
      <c r="Z335" s="68"/>
      <c r="AA335" s="68"/>
      <c r="AB335" s="68"/>
    </row>
    <row r="336" hidden="1" outlineLevel="1">
      <c r="A336" s="1" t="s">
        <v>519</v>
      </c>
      <c r="B336" s="1" t="s">
        <v>520</v>
      </c>
      <c r="C336" s="1" t="s">
        <v>1083</v>
      </c>
      <c r="D336" s="1" t="s">
        <v>1084</v>
      </c>
      <c r="E336" s="27">
        <v>45469.0</v>
      </c>
      <c r="F336" s="69" t="s">
        <v>1085</v>
      </c>
      <c r="G336" s="7" t="s">
        <v>1086</v>
      </c>
      <c r="H336" s="9" t="s">
        <v>1087</v>
      </c>
      <c r="I336" s="4"/>
      <c r="J336" s="4" t="b">
        <v>0</v>
      </c>
      <c r="K336" s="4" t="b">
        <v>0</v>
      </c>
      <c r="L336" s="1" t="s">
        <v>1088</v>
      </c>
      <c r="M336" s="6"/>
      <c r="N336" s="1"/>
      <c r="O336" s="1"/>
      <c r="P336" s="1"/>
      <c r="Q336" s="1"/>
      <c r="R336" s="1"/>
      <c r="S336" s="1"/>
      <c r="T336" s="1"/>
      <c r="U336" s="1"/>
      <c r="V336" s="1"/>
      <c r="W336" s="1"/>
      <c r="X336" s="1"/>
      <c r="Y336" s="1"/>
      <c r="Z336" s="1"/>
      <c r="AA336" s="1"/>
      <c r="AB336" s="1"/>
    </row>
    <row r="337" hidden="1" outlineLevel="1">
      <c r="A337" s="1" t="s">
        <v>519</v>
      </c>
      <c r="B337" s="1" t="s">
        <v>1089</v>
      </c>
      <c r="C337" s="1" t="s">
        <v>1090</v>
      </c>
      <c r="D337" s="1" t="s">
        <v>1091</v>
      </c>
      <c r="E337" s="27">
        <v>45467.0</v>
      </c>
      <c r="F337" s="1" t="s">
        <v>1092</v>
      </c>
      <c r="G337" s="7" t="s">
        <v>1093</v>
      </c>
      <c r="H337" s="16"/>
      <c r="I337" s="4"/>
      <c r="J337" s="4" t="b">
        <v>0</v>
      </c>
      <c r="K337" s="4" t="b">
        <v>0</v>
      </c>
      <c r="L337" s="1" t="s">
        <v>1094</v>
      </c>
      <c r="M337" s="6"/>
      <c r="N337" s="1" t="s">
        <v>1095</v>
      </c>
      <c r="O337" s="1"/>
      <c r="P337" s="1"/>
      <c r="Q337" s="1"/>
      <c r="R337" s="1"/>
      <c r="S337" s="1"/>
      <c r="T337" s="1"/>
      <c r="U337" s="1"/>
      <c r="V337" s="1"/>
      <c r="W337" s="1"/>
      <c r="X337" s="1"/>
      <c r="Y337" s="1"/>
      <c r="Z337" s="1"/>
      <c r="AA337" s="1"/>
      <c r="AB337" s="1"/>
    </row>
    <row r="338" hidden="1" outlineLevel="1">
      <c r="A338" s="1" t="s">
        <v>519</v>
      </c>
      <c r="B338" s="1" t="s">
        <v>569</v>
      </c>
      <c r="C338" s="1" t="s">
        <v>1096</v>
      </c>
      <c r="D338" s="1" t="s">
        <v>1097</v>
      </c>
      <c r="E338" s="27">
        <v>45462.0</v>
      </c>
      <c r="F338" s="1" t="s">
        <v>1098</v>
      </c>
      <c r="G338" s="7" t="s">
        <v>1099</v>
      </c>
      <c r="H338" s="16"/>
      <c r="I338" s="4"/>
      <c r="J338" s="4" t="b">
        <v>0</v>
      </c>
      <c r="K338" s="4" t="b">
        <v>0</v>
      </c>
      <c r="L338" s="1" t="s">
        <v>1100</v>
      </c>
      <c r="M338" s="6"/>
      <c r="N338" s="1"/>
      <c r="O338" s="1"/>
      <c r="P338" s="1"/>
      <c r="Q338" s="1"/>
      <c r="R338" s="1"/>
      <c r="S338" s="1"/>
      <c r="T338" s="1"/>
      <c r="U338" s="1"/>
      <c r="V338" s="1"/>
      <c r="W338" s="1"/>
      <c r="X338" s="1"/>
      <c r="Y338" s="1"/>
      <c r="Z338" s="1"/>
      <c r="AA338" s="1"/>
      <c r="AB338" s="1"/>
    </row>
    <row r="339" hidden="1" outlineLevel="1">
      <c r="A339" s="1" t="s">
        <v>519</v>
      </c>
      <c r="B339" s="1" t="s">
        <v>508</v>
      </c>
      <c r="C339" s="1" t="s">
        <v>1101</v>
      </c>
      <c r="D339" s="1" t="s">
        <v>1102</v>
      </c>
      <c r="E339" s="27">
        <v>45470.0</v>
      </c>
      <c r="F339" s="1" t="s">
        <v>1103</v>
      </c>
      <c r="G339" s="7" t="s">
        <v>1104</v>
      </c>
      <c r="H339" s="16"/>
      <c r="I339" s="4"/>
      <c r="J339" s="4" t="b">
        <v>0</v>
      </c>
      <c r="K339" s="4" t="b">
        <v>0</v>
      </c>
      <c r="L339" s="1"/>
      <c r="M339" s="6"/>
      <c r="N339" s="1"/>
      <c r="O339" s="1"/>
      <c r="P339" s="1"/>
      <c r="Q339" s="1"/>
      <c r="R339" s="1"/>
      <c r="S339" s="1"/>
      <c r="T339" s="1"/>
      <c r="U339" s="1"/>
      <c r="V339" s="1"/>
      <c r="W339" s="1"/>
      <c r="X339" s="1"/>
      <c r="Y339" s="1"/>
      <c r="Z339" s="1"/>
      <c r="AA339" s="1"/>
      <c r="AB339" s="1"/>
    </row>
    <row r="340" ht="41.25" hidden="1" customHeight="1" outlineLevel="1">
      <c r="A340" s="1" t="s">
        <v>519</v>
      </c>
      <c r="B340" s="1" t="s">
        <v>508</v>
      </c>
      <c r="C340" s="1" t="s">
        <v>1105</v>
      </c>
      <c r="D340" s="1" t="s">
        <v>1106</v>
      </c>
      <c r="E340" s="27">
        <v>45477.0</v>
      </c>
      <c r="F340" s="1" t="s">
        <v>1107</v>
      </c>
      <c r="G340" s="7" t="s">
        <v>1108</v>
      </c>
      <c r="H340" s="16"/>
      <c r="I340" s="4"/>
      <c r="J340" s="4" t="b">
        <v>0</v>
      </c>
      <c r="K340" s="4" t="b">
        <v>0</v>
      </c>
      <c r="L340" s="1"/>
      <c r="M340" s="6"/>
      <c r="N340" s="1" t="s">
        <v>1109</v>
      </c>
      <c r="O340" s="1"/>
      <c r="P340" s="1"/>
      <c r="Q340" s="1"/>
      <c r="R340" s="1"/>
      <c r="S340" s="1"/>
      <c r="T340" s="1"/>
      <c r="U340" s="1"/>
      <c r="V340" s="1"/>
      <c r="W340" s="1"/>
      <c r="X340" s="1"/>
      <c r="Y340" s="1"/>
      <c r="Z340" s="1"/>
      <c r="AA340" s="1"/>
      <c r="AB340" s="1"/>
    </row>
    <row r="341" hidden="1" outlineLevel="1">
      <c r="A341" s="1" t="s">
        <v>519</v>
      </c>
      <c r="B341" s="1" t="s">
        <v>537</v>
      </c>
      <c r="C341" s="1" t="s">
        <v>928</v>
      </c>
      <c r="D341" s="1" t="s">
        <v>1110</v>
      </c>
      <c r="E341" s="27">
        <v>45488.0</v>
      </c>
      <c r="F341" s="1" t="s">
        <v>1111</v>
      </c>
      <c r="G341" s="7" t="s">
        <v>1112</v>
      </c>
      <c r="H341" s="16"/>
      <c r="I341" s="4"/>
      <c r="J341" s="4" t="b">
        <v>0</v>
      </c>
      <c r="K341" s="4" t="b">
        <v>0</v>
      </c>
      <c r="L341" s="1" t="s">
        <v>1113</v>
      </c>
      <c r="M341" s="6"/>
      <c r="N341" s="1"/>
      <c r="O341" s="1"/>
      <c r="P341" s="1"/>
      <c r="Q341" s="1"/>
      <c r="R341" s="1"/>
      <c r="S341" s="1"/>
      <c r="T341" s="1"/>
      <c r="U341" s="1"/>
      <c r="V341" s="1"/>
      <c r="W341" s="1"/>
      <c r="X341" s="1"/>
      <c r="Y341" s="1"/>
      <c r="Z341" s="1"/>
      <c r="AA341" s="1"/>
      <c r="AB341" s="1"/>
    </row>
    <row r="342" hidden="1" outlineLevel="1">
      <c r="A342" s="1" t="s">
        <v>519</v>
      </c>
      <c r="B342" s="1" t="s">
        <v>508</v>
      </c>
      <c r="C342" s="1" t="s">
        <v>509</v>
      </c>
      <c r="D342" s="1" t="s">
        <v>1114</v>
      </c>
      <c r="E342" s="27">
        <v>45490.0</v>
      </c>
      <c r="F342" s="1" t="s">
        <v>1115</v>
      </c>
      <c r="G342" s="7" t="s">
        <v>1116</v>
      </c>
      <c r="H342" s="16"/>
      <c r="I342" s="4"/>
      <c r="J342" s="4" t="b">
        <v>0</v>
      </c>
      <c r="K342" s="4" t="b">
        <v>0</v>
      </c>
      <c r="L342" s="1" t="s">
        <v>1117</v>
      </c>
      <c r="M342" s="6"/>
      <c r="N342" s="1"/>
      <c r="O342" s="1"/>
      <c r="P342" s="1"/>
      <c r="Q342" s="1"/>
      <c r="R342" s="1"/>
      <c r="S342" s="1"/>
      <c r="T342" s="1"/>
      <c r="U342" s="1"/>
      <c r="V342" s="1"/>
      <c r="W342" s="1"/>
      <c r="X342" s="1"/>
      <c r="Y342" s="1"/>
      <c r="Z342" s="1"/>
      <c r="AA342" s="1"/>
      <c r="AB342" s="1"/>
    </row>
    <row r="343" hidden="1" outlineLevel="1">
      <c r="A343" s="1" t="s">
        <v>519</v>
      </c>
      <c r="B343" s="1" t="s">
        <v>520</v>
      </c>
      <c r="C343" s="1" t="s">
        <v>1118</v>
      </c>
      <c r="D343" s="1" t="s">
        <v>1119</v>
      </c>
      <c r="E343" s="27">
        <v>45495.0</v>
      </c>
      <c r="F343" s="1" t="s">
        <v>1120</v>
      </c>
      <c r="G343" s="7" t="s">
        <v>1121</v>
      </c>
      <c r="H343" s="16"/>
      <c r="I343" s="4"/>
      <c r="J343" s="4" t="b">
        <v>0</v>
      </c>
      <c r="K343" s="4" t="b">
        <v>0</v>
      </c>
      <c r="L343" s="1" t="s">
        <v>1113</v>
      </c>
      <c r="M343" s="6"/>
      <c r="N343" s="1"/>
      <c r="O343" s="1"/>
      <c r="P343" s="1"/>
      <c r="Q343" s="1"/>
      <c r="R343" s="1"/>
      <c r="S343" s="1"/>
      <c r="T343" s="1"/>
      <c r="U343" s="1"/>
      <c r="V343" s="1"/>
      <c r="W343" s="1"/>
      <c r="X343" s="1"/>
      <c r="Y343" s="1"/>
      <c r="Z343" s="1"/>
      <c r="AA343" s="1"/>
      <c r="AB343" s="1"/>
    </row>
    <row r="344" hidden="1" outlineLevel="1">
      <c r="A344" s="1" t="s">
        <v>507</v>
      </c>
      <c r="B344" s="1" t="s">
        <v>520</v>
      </c>
      <c r="C344" s="1" t="s">
        <v>1122</v>
      </c>
      <c r="D344" s="1" t="s">
        <v>1123</v>
      </c>
      <c r="E344" s="27">
        <v>45470.0</v>
      </c>
      <c r="F344" s="69" t="s">
        <v>1124</v>
      </c>
      <c r="G344" s="7" t="s">
        <v>1125</v>
      </c>
      <c r="H344" s="16"/>
      <c r="I344" s="4"/>
      <c r="J344" s="4" t="b">
        <v>0</v>
      </c>
      <c r="K344" s="4" t="b">
        <v>0</v>
      </c>
      <c r="L344" s="1" t="s">
        <v>1126</v>
      </c>
      <c r="M344" s="6"/>
      <c r="N344" s="1" t="s">
        <v>1127</v>
      </c>
      <c r="O344" s="1"/>
      <c r="P344" s="1"/>
      <c r="Q344" s="1"/>
      <c r="R344" s="1"/>
      <c r="S344" s="1"/>
      <c r="T344" s="1"/>
      <c r="U344" s="1"/>
      <c r="V344" s="1"/>
      <c r="W344" s="1"/>
      <c r="X344" s="1"/>
      <c r="Y344" s="1"/>
      <c r="Z344" s="1"/>
      <c r="AA344" s="1"/>
      <c r="AB344" s="1"/>
    </row>
    <row r="345" hidden="1" outlineLevel="1">
      <c r="A345" s="1" t="s">
        <v>507</v>
      </c>
      <c r="B345" s="1" t="s">
        <v>520</v>
      </c>
      <c r="C345" s="1" t="s">
        <v>1128</v>
      </c>
      <c r="D345" s="1" t="s">
        <v>1129</v>
      </c>
      <c r="E345" s="27">
        <v>45472.0</v>
      </c>
      <c r="F345" s="69" t="s">
        <v>1130</v>
      </c>
      <c r="G345" s="7" t="s">
        <v>1131</v>
      </c>
      <c r="H345" s="16"/>
      <c r="I345" s="4"/>
      <c r="J345" s="4" t="b">
        <v>0</v>
      </c>
      <c r="K345" s="4" t="b">
        <v>0</v>
      </c>
      <c r="L345" s="1" t="s">
        <v>1132</v>
      </c>
      <c r="M345" s="6"/>
      <c r="N345" s="1" t="s">
        <v>1133</v>
      </c>
      <c r="O345" s="1"/>
      <c r="P345" s="1"/>
      <c r="Q345" s="1"/>
      <c r="R345" s="1"/>
      <c r="S345" s="1"/>
      <c r="T345" s="1"/>
      <c r="U345" s="1"/>
      <c r="V345" s="1"/>
      <c r="W345" s="1"/>
      <c r="X345" s="1"/>
      <c r="Y345" s="1"/>
      <c r="Z345" s="1"/>
      <c r="AA345" s="1"/>
      <c r="AB345" s="1"/>
    </row>
    <row r="346" hidden="1" outlineLevel="1">
      <c r="A346" s="1" t="s">
        <v>507</v>
      </c>
      <c r="B346" s="1" t="s">
        <v>508</v>
      </c>
      <c r="C346" s="1" t="s">
        <v>1134</v>
      </c>
      <c r="D346" s="1" t="s">
        <v>1135</v>
      </c>
      <c r="E346" s="27">
        <v>45495.0</v>
      </c>
      <c r="F346" s="69" t="s">
        <v>1136</v>
      </c>
      <c r="G346" s="7" t="s">
        <v>1137</v>
      </c>
      <c r="H346" s="16"/>
      <c r="I346" s="4"/>
      <c r="J346" s="4" t="b">
        <v>0</v>
      </c>
      <c r="K346" s="4" t="b">
        <v>0</v>
      </c>
      <c r="L346" s="1" t="s">
        <v>1138</v>
      </c>
      <c r="M346" s="6"/>
      <c r="N346" s="1"/>
      <c r="O346" s="1"/>
      <c r="P346" s="1"/>
      <c r="Q346" s="1"/>
      <c r="R346" s="1"/>
      <c r="S346" s="1"/>
      <c r="T346" s="1"/>
      <c r="U346" s="1"/>
      <c r="V346" s="1"/>
      <c r="W346" s="1"/>
      <c r="X346" s="1"/>
      <c r="Y346" s="1"/>
      <c r="Z346" s="1"/>
      <c r="AA346" s="1"/>
      <c r="AB346" s="1"/>
    </row>
    <row r="347" hidden="1" outlineLevel="1">
      <c r="A347" s="1" t="s">
        <v>574</v>
      </c>
      <c r="B347" s="1" t="s">
        <v>708</v>
      </c>
      <c r="C347" s="1" t="s">
        <v>1139</v>
      </c>
      <c r="D347" s="1" t="s">
        <v>1140</v>
      </c>
      <c r="E347" s="53">
        <v>45488.0</v>
      </c>
      <c r="F347" s="70" t="s">
        <v>1141</v>
      </c>
      <c r="G347" s="7" t="s">
        <v>1142</v>
      </c>
      <c r="H347" s="16"/>
      <c r="I347" s="4"/>
      <c r="J347" s="4" t="b">
        <v>0</v>
      </c>
      <c r="K347" s="4" t="b">
        <v>0</v>
      </c>
      <c r="L347" s="1" t="s">
        <v>1143</v>
      </c>
      <c r="M347" s="6"/>
      <c r="N347" s="71"/>
      <c r="O347" s="71"/>
      <c r="P347" s="71"/>
      <c r="Q347" s="71"/>
      <c r="R347" s="71"/>
      <c r="S347" s="71"/>
      <c r="T347" s="71"/>
      <c r="U347" s="71"/>
      <c r="V347" s="71"/>
      <c r="W347" s="71"/>
      <c r="X347" s="71"/>
      <c r="Y347" s="71"/>
      <c r="Z347" s="71"/>
      <c r="AA347" s="71"/>
      <c r="AB347" s="71"/>
    </row>
    <row r="348" collapsed="1">
      <c r="A348" s="1"/>
      <c r="B348" s="1"/>
      <c r="C348" s="1"/>
      <c r="D348" s="1"/>
      <c r="E348" s="28" t="s">
        <v>1144</v>
      </c>
      <c r="F348" s="1"/>
      <c r="G348" s="5"/>
      <c r="H348" s="16"/>
      <c r="I348" s="4"/>
      <c r="J348" s="4" t="b">
        <v>0</v>
      </c>
      <c r="K348" s="4" t="b">
        <v>0</v>
      </c>
      <c r="L348" s="1"/>
      <c r="M348" s="6"/>
      <c r="N348" s="1"/>
      <c r="O348" s="1"/>
      <c r="P348" s="1"/>
      <c r="Q348" s="1"/>
      <c r="R348" s="1"/>
      <c r="S348" s="1"/>
      <c r="T348" s="1"/>
      <c r="U348" s="1"/>
      <c r="V348" s="1"/>
      <c r="W348" s="1"/>
      <c r="X348" s="1"/>
      <c r="Y348" s="1"/>
      <c r="Z348" s="1"/>
      <c r="AA348" s="1"/>
      <c r="AB348" s="1"/>
    </row>
    <row r="349" hidden="1" outlineLevel="1">
      <c r="A349" s="1" t="s">
        <v>574</v>
      </c>
      <c r="B349" s="1" t="s">
        <v>520</v>
      </c>
      <c r="C349" s="1" t="s">
        <v>1145</v>
      </c>
      <c r="D349" s="1" t="s">
        <v>1146</v>
      </c>
      <c r="E349" s="27">
        <v>45485.0</v>
      </c>
      <c r="F349" s="1" t="s">
        <v>1147</v>
      </c>
      <c r="G349" s="7" t="s">
        <v>1148</v>
      </c>
      <c r="H349" s="16"/>
      <c r="I349" s="4"/>
      <c r="J349" s="4" t="b">
        <v>0</v>
      </c>
      <c r="K349" s="4" t="b">
        <v>0</v>
      </c>
      <c r="L349" s="1" t="s">
        <v>1149</v>
      </c>
      <c r="M349" s="6"/>
      <c r="N349" s="1"/>
      <c r="O349" s="1"/>
      <c r="P349" s="1"/>
      <c r="Q349" s="1"/>
      <c r="R349" s="1"/>
      <c r="S349" s="1"/>
      <c r="T349" s="1"/>
      <c r="U349" s="1"/>
      <c r="V349" s="1"/>
      <c r="W349" s="1"/>
      <c r="X349" s="1"/>
      <c r="Y349" s="1"/>
      <c r="Z349" s="1"/>
      <c r="AA349" s="1"/>
      <c r="AB349" s="1"/>
    </row>
    <row r="350" hidden="1" outlineLevel="1">
      <c r="A350" s="1" t="s">
        <v>519</v>
      </c>
      <c r="B350" s="1" t="s">
        <v>529</v>
      </c>
      <c r="C350" s="1" t="s">
        <v>1150</v>
      </c>
      <c r="D350" s="1" t="s">
        <v>1151</v>
      </c>
      <c r="E350" s="27">
        <v>45489.0</v>
      </c>
      <c r="F350" s="1" t="s">
        <v>1152</v>
      </c>
      <c r="G350" s="7" t="s">
        <v>1153</v>
      </c>
      <c r="H350" s="16"/>
      <c r="I350" s="4"/>
      <c r="J350" s="4" t="b">
        <v>0</v>
      </c>
      <c r="K350" s="4" t="b">
        <v>0</v>
      </c>
      <c r="L350" s="1" t="s">
        <v>1154</v>
      </c>
      <c r="M350" s="6"/>
      <c r="N350" s="1"/>
      <c r="O350" s="1"/>
      <c r="P350" s="1"/>
      <c r="Q350" s="1"/>
      <c r="R350" s="1"/>
      <c r="S350" s="1"/>
      <c r="T350" s="1"/>
      <c r="U350" s="1"/>
      <c r="V350" s="1"/>
      <c r="W350" s="1"/>
      <c r="X350" s="1"/>
      <c r="Y350" s="1"/>
      <c r="Z350" s="1"/>
      <c r="AA350" s="1"/>
      <c r="AB350" s="1"/>
    </row>
    <row r="351" hidden="1" outlineLevel="1">
      <c r="A351" s="1" t="s">
        <v>519</v>
      </c>
      <c r="B351" s="1" t="s">
        <v>599</v>
      </c>
      <c r="C351" s="1" t="s">
        <v>1155</v>
      </c>
      <c r="D351" s="1" t="s">
        <v>1156</v>
      </c>
      <c r="E351" s="27">
        <v>45492.0</v>
      </c>
      <c r="F351" s="1" t="s">
        <v>1157</v>
      </c>
      <c r="G351" s="7" t="s">
        <v>1158</v>
      </c>
      <c r="H351" s="16"/>
      <c r="I351" s="4"/>
      <c r="J351" s="4" t="b">
        <v>0</v>
      </c>
      <c r="K351" s="4" t="b">
        <v>0</v>
      </c>
      <c r="L351" s="1" t="s">
        <v>1159</v>
      </c>
      <c r="M351" s="6"/>
      <c r="N351" s="1"/>
      <c r="O351" s="1"/>
      <c r="P351" s="1"/>
      <c r="Q351" s="1"/>
      <c r="R351" s="1"/>
      <c r="S351" s="1"/>
      <c r="T351" s="1"/>
      <c r="U351" s="1"/>
      <c r="V351" s="1"/>
      <c r="W351" s="1"/>
      <c r="X351" s="1"/>
      <c r="Y351" s="1"/>
      <c r="Z351" s="1"/>
      <c r="AA351" s="1"/>
      <c r="AB351" s="1"/>
    </row>
    <row r="352" hidden="1" outlineLevel="1">
      <c r="A352" s="1" t="s">
        <v>519</v>
      </c>
      <c r="B352" s="1" t="s">
        <v>809</v>
      </c>
      <c r="C352" s="1" t="s">
        <v>1160</v>
      </c>
      <c r="D352" s="1" t="s">
        <v>1161</v>
      </c>
      <c r="E352" s="27">
        <v>45491.0</v>
      </c>
      <c r="F352" s="72" t="s">
        <v>1162</v>
      </c>
      <c r="G352" s="7" t="s">
        <v>1163</v>
      </c>
      <c r="H352" s="16"/>
      <c r="I352" s="4"/>
      <c r="J352" s="4" t="b">
        <v>0</v>
      </c>
      <c r="K352" s="4" t="b">
        <v>0</v>
      </c>
      <c r="L352" s="1" t="s">
        <v>1164</v>
      </c>
      <c r="M352" s="6"/>
      <c r="N352" s="1"/>
      <c r="O352" s="1"/>
      <c r="P352" s="1"/>
      <c r="Q352" s="1"/>
      <c r="R352" s="1"/>
      <c r="S352" s="1"/>
      <c r="T352" s="1"/>
      <c r="U352" s="1"/>
      <c r="V352" s="1"/>
      <c r="W352" s="1"/>
      <c r="X352" s="1"/>
      <c r="Y352" s="1"/>
      <c r="Z352" s="1"/>
      <c r="AA352" s="1"/>
      <c r="AB352" s="1"/>
    </row>
    <row r="353" hidden="1" outlineLevel="1">
      <c r="A353" s="1" t="s">
        <v>519</v>
      </c>
      <c r="B353" s="1" t="s">
        <v>520</v>
      </c>
      <c r="C353" s="1" t="s">
        <v>900</v>
      </c>
      <c r="D353" s="1" t="s">
        <v>1165</v>
      </c>
      <c r="E353" s="27">
        <v>45518.0</v>
      </c>
      <c r="F353" s="1" t="s">
        <v>1166</v>
      </c>
      <c r="G353" s="7" t="s">
        <v>1167</v>
      </c>
      <c r="H353" s="9" t="s">
        <v>1168</v>
      </c>
      <c r="I353" s="4"/>
      <c r="J353" s="4" t="b">
        <v>0</v>
      </c>
      <c r="K353" s="4" t="b">
        <v>0</v>
      </c>
      <c r="L353" s="1" t="s">
        <v>900</v>
      </c>
      <c r="M353" s="6"/>
      <c r="N353" s="1" t="s">
        <v>1169</v>
      </c>
      <c r="O353" s="1"/>
      <c r="P353" s="1"/>
      <c r="Q353" s="1"/>
      <c r="R353" s="1"/>
      <c r="S353" s="1"/>
      <c r="T353" s="1"/>
      <c r="U353" s="1"/>
      <c r="V353" s="1"/>
      <c r="W353" s="1"/>
      <c r="X353" s="1"/>
      <c r="Y353" s="1"/>
      <c r="Z353" s="1"/>
      <c r="AA353" s="1"/>
      <c r="AB353" s="1"/>
    </row>
    <row r="354" collapsed="1">
      <c r="A354" s="1"/>
      <c r="B354" s="1"/>
      <c r="C354" s="1"/>
      <c r="D354" s="1"/>
      <c r="E354" s="28" t="s">
        <v>1170</v>
      </c>
      <c r="F354" s="1"/>
      <c r="G354" s="5"/>
      <c r="H354" s="16"/>
      <c r="I354" s="4"/>
      <c r="J354" s="4" t="b">
        <v>0</v>
      </c>
      <c r="K354" s="4" t="b">
        <v>0</v>
      </c>
      <c r="L354" s="1"/>
      <c r="M354" s="6"/>
      <c r="N354" s="1"/>
      <c r="O354" s="1"/>
      <c r="P354" s="1"/>
      <c r="Q354" s="1"/>
      <c r="R354" s="1"/>
      <c r="S354" s="1"/>
      <c r="T354" s="1"/>
      <c r="U354" s="1"/>
      <c r="V354" s="1"/>
      <c r="W354" s="1"/>
      <c r="X354" s="1"/>
      <c r="Y354" s="1"/>
      <c r="Z354" s="1"/>
      <c r="AA354" s="1"/>
      <c r="AB354" s="1"/>
    </row>
    <row r="355" hidden="1" outlineLevel="1">
      <c r="A355" s="1" t="s">
        <v>519</v>
      </c>
      <c r="B355" s="1" t="s">
        <v>809</v>
      </c>
      <c r="C355" s="1" t="s">
        <v>1021</v>
      </c>
      <c r="D355" s="1" t="s">
        <v>1171</v>
      </c>
      <c r="E355" s="58">
        <v>45465.0</v>
      </c>
      <c r="F355" s="1" t="s">
        <v>1172</v>
      </c>
      <c r="G355" s="7" t="s">
        <v>1173</v>
      </c>
      <c r="H355" s="16"/>
      <c r="I355" s="4"/>
      <c r="J355" s="4" t="b">
        <v>0</v>
      </c>
      <c r="K355" s="4" t="b">
        <v>0</v>
      </c>
      <c r="L355" s="1" t="s">
        <v>1174</v>
      </c>
      <c r="M355" s="6"/>
      <c r="N355" s="1"/>
      <c r="O355" s="1" t="str">
        <f>IFERROR(__xludf.DUMMYFUNCTION("GOOGLETRANSLATE(F355,""zh-CN"",""en"") "),"The Open Source Initiative (OSI) has been the governing body for open-source definitions and has been attempting to define ""open-source AI"" for the past three years. This attempt is partly in response to Meta's claim that its large language model is ope"&amp;"n-source, a view opposed within the community, and partly due to potential conflicts over funding sources; OSI is also diversifying its funding sources.
The current open-source AI definition has a draft version 0.0.8. The main challenges in defining it a"&amp;"re whether the data can be made available to others and whether the trained data can be replicated like software. A stable definition of open-source AI is expected to be reached at the All Things Open conference at the end of October.")</f>
        <v>The Open Source Initiative (OSI) has been the governing body for open-source definitions and has been attempting to define "open-source AI" for the past three years. This attempt is partly in response to Meta's claim that its large language model is open-source, a view opposed within the community, and partly due to potential conflicts over funding sources; OSI is also diversifying its funding sources.
The current open-source AI definition has a draft version 0.0.8. The main challenges in defining it are whether the data can be made available to others and whether the trained data can be replicated like software. A stable definition of open-source AI is expected to be reached at the All Things Open conference at the end of October.</v>
      </c>
      <c r="P355" s="1" t="str">
        <f>IFERROR(__xludf.DUMMYFUNCTION("GOOGLETRANSLATE(F355,""en"",""zh-tw"") "),"開源倡議（ OSI ）一直是開源定義的管理員，並在三年前開始嘗試定義「開源人工智慧」（開源 AI ）。此嘗試是為了回應 Meta 聲稱其為開源的大型語言模型，社群內部反對這一觀點，另外資金來源而可能有些衝突，OSI 同時也相信資金來源。
目前的開源人工智慧定義已經0.0.8草案版本，定義上的挑戰主要為-資料是否提供其他人查看、資料訓練後無法向軟體同樣複製。該版本預計在10月底All Things Open會議中達成一項開源人工智能定義。")</f>
        <v>開源倡議（ OSI ）一直是開源定義的管理員，並在三年前開始嘗試定義「開源人工智慧」（開源 AI ）。此嘗試是為了回應 Meta 聲稱其為開源的大型語言模型，社群內部反對這一觀點，另外資金來源而可能有些衝突，OSI 同時也相信資金來源。
目前的開源人工智慧定義已經0.0.8草案版本，定義上的挑戰主要為-資料是否提供其他人查看、資料訓練後無法向軟體同樣複製。該版本預計在10月底All Things Open會議中達成一項開源人工智能定義。</v>
      </c>
      <c r="Q355" s="1"/>
      <c r="R355" s="1"/>
      <c r="S355" s="1"/>
      <c r="T355" s="1"/>
      <c r="U355" s="1"/>
      <c r="V355" s="1"/>
      <c r="W355" s="1"/>
      <c r="X355" s="1"/>
      <c r="Y355" s="1"/>
      <c r="Z355" s="1"/>
      <c r="AA355" s="1"/>
      <c r="AB355" s="1"/>
    </row>
    <row r="356" hidden="1" outlineLevel="1">
      <c r="A356" s="1" t="s">
        <v>519</v>
      </c>
      <c r="B356" s="1" t="s">
        <v>537</v>
      </c>
      <c r="C356" s="1" t="s">
        <v>1072</v>
      </c>
      <c r="D356" s="1" t="s">
        <v>1175</v>
      </c>
      <c r="E356" s="27">
        <v>45473.0</v>
      </c>
      <c r="F356" s="1" t="s">
        <v>1176</v>
      </c>
      <c r="G356" s="7" t="s">
        <v>1177</v>
      </c>
      <c r="H356" s="16"/>
      <c r="I356" s="4"/>
      <c r="J356" s="4" t="b">
        <v>0</v>
      </c>
      <c r="K356" s="4" t="b">
        <v>0</v>
      </c>
      <c r="L356" s="1" t="s">
        <v>1178</v>
      </c>
      <c r="M356" s="6"/>
      <c r="N356" s="1"/>
      <c r="O356" s="1" t="str">
        <f>IFERROR(__xludf.DUMMYFUNCTION("GOOGLETRANSLATE(F356,""zh-CN"",""zh-TW"") "),"Mozilla 因接受 DRM（數字版權管理） 而飽受爭議。文中討論開源專案為何因為 protocol 而只能妥協，導致違背開源社群精神。
文末寫首 Mozilla 應該只做兩件事：建立網頁瀏覽器的最佳範例，以及成為標準委員會中的巨砲委員。")</f>
        <v>Mozilla 因接受 DRM（數字版權管理） 而飽受爭議。文中討論開源專案為何因為 protocol 而只能妥協，導致違背開源社群精神。
文末寫首 Mozilla 應該只做兩件事：建立網頁瀏覽器的最佳範例，以及成為標準委員會中的巨砲委員。</v>
      </c>
      <c r="P356" s="1"/>
      <c r="Q356" s="1"/>
      <c r="R356" s="1"/>
      <c r="S356" s="1"/>
      <c r="T356" s="1"/>
      <c r="U356" s="1"/>
      <c r="V356" s="1"/>
      <c r="W356" s="1"/>
      <c r="X356" s="1"/>
      <c r="Y356" s="1"/>
      <c r="Z356" s="1"/>
      <c r="AA356" s="1"/>
      <c r="AB356" s="1"/>
    </row>
    <row r="357" hidden="1" outlineLevel="1">
      <c r="A357" s="1" t="s">
        <v>519</v>
      </c>
      <c r="B357" s="1" t="s">
        <v>529</v>
      </c>
      <c r="C357" s="1" t="s">
        <v>1179</v>
      </c>
      <c r="D357" s="1" t="s">
        <v>1180</v>
      </c>
      <c r="E357" s="27">
        <v>45481.0</v>
      </c>
      <c r="F357" s="1" t="s">
        <v>1181</v>
      </c>
      <c r="G357" s="7" t="s">
        <v>1182</v>
      </c>
      <c r="H357" s="16"/>
      <c r="I357" s="4"/>
      <c r="J357" s="4" t="b">
        <v>0</v>
      </c>
      <c r="K357" s="4" t="b">
        <v>0</v>
      </c>
      <c r="L357" s="1" t="s">
        <v>1183</v>
      </c>
      <c r="M357" s="6"/>
      <c r="N357" s="1"/>
      <c r="O357" s="1" t="str">
        <f>IFERROR(__xludf.DUMMYFUNCTION("GOOGLETRANSLATE(F357,""zh-CN"",""zh-TW"") "),"Geomys，永續開源維護公司的藍圖
作者於 2022 年離開 Google，尋找可持續的開源維護方法。最後建立 Geomys，由專業開源維護人員組成的小公司。
一開始的假設：公司希望為其關鍵的開源依賴付費，但市場沒有這類服務。作者實際嘗試後，留下3/4的顧客。
商業模式：客戶仍每月支付固定的聘金，以確保整個產品組合的專業維護，並獲得所有 Geomys 維護人員的專業知識。")</f>
        <v>Geomys，永續開源維護公司的藍圖
作者於 2022 年離開 Google，尋找可持續的開源維護方法。最後建立 Geomys，由專業開源維護人員組成的小公司。
一開始的假設：公司希望為其關鍵的開源依賴付費，但市場沒有這類服務。作者實際嘗試後，留下3/4的顧客。
商業模式：客戶仍每月支付固定的聘金，以確保整個產品組合的專業維護，並獲得所有 Geomys 維護人員的專業知識。</v>
      </c>
      <c r="P357" s="1"/>
      <c r="Q357" s="1"/>
      <c r="R357" s="1"/>
      <c r="S357" s="1"/>
      <c r="T357" s="1"/>
      <c r="U357" s="1"/>
      <c r="V357" s="1"/>
      <c r="W357" s="1"/>
      <c r="X357" s="1"/>
      <c r="Y357" s="1"/>
      <c r="Z357" s="1"/>
      <c r="AA357" s="1"/>
      <c r="AB357" s="1"/>
    </row>
    <row r="358" hidden="1" outlineLevel="1">
      <c r="A358" s="1" t="s">
        <v>519</v>
      </c>
      <c r="B358" s="1" t="s">
        <v>599</v>
      </c>
      <c r="C358" s="1" t="s">
        <v>1021</v>
      </c>
      <c r="D358" s="17" t="s">
        <v>1184</v>
      </c>
      <c r="E358" s="27">
        <v>45488.0</v>
      </c>
      <c r="F358" s="1" t="s">
        <v>1185</v>
      </c>
      <c r="G358" s="7" t="s">
        <v>1186</v>
      </c>
      <c r="H358" s="16"/>
      <c r="I358" s="4"/>
      <c r="J358" s="4" t="b">
        <v>0</v>
      </c>
      <c r="K358" s="4" t="b">
        <v>0</v>
      </c>
      <c r="L358" s="1" t="s">
        <v>1187</v>
      </c>
      <c r="M358" s="6"/>
      <c r="N358" s="1"/>
      <c r="O358" s="1" t="str">
        <f>IFERROR(__xludf.DUMMYFUNCTION("GOOGLETRANSLATE(F358,""zh-CN"",""zh-TW"") "),"Google 支援印度開源 Uber 競爭對手 Moving Tech，他是印度開源共乘應用程式Namma Yatri的母公司，該公司憑藉其免佣金模式迅速從 Uber 和 Ola 手中奪取了市場份額。
Namma Yatri 在數字商務開放網路 (ONDC) 上工作，這是一項由印度政府支持的互通計劃，旨在實現該國電子商務的民主化。在過去的十年中，印度一直在推行一項雄心勃勃的策略，透過 “India Stack,”(印度堆疊) （一組用於身份、支付和數據共享的開放 API）實現經濟和公共服務的數字化。這項"&amp;"由政府主導的措施旨在創建統一的數字基礎設施，公共和私營部門都可以利用該基礎設施，為公民提供更有效率、更包容的服務。")</f>
        <v>Google 支援印度開源 Uber 競爭對手 Moving Tech，他是印度開源共乘應用程式Namma Yatri的母公司，該公司憑藉其免佣金模式迅速從 Uber 和 Ola 手中奪取了市場份額。
Namma Yatri 在數字商務開放網路 (ONDC) 上工作，這是一項由印度政府支持的互通計劃，旨在實現該國電子商務的民主化。在過去的十年中，印度一直在推行一項雄心勃勃的策略，透過 “India Stack,”(印度堆疊) （一組用於身份、支付和數據共享的開放 API）實現經濟和公共服務的數字化。這項由政府主導的措施旨在創建統一的數字基礎設施，公共和私營部門都可以利用該基礎設施，為公民提供更有效率、更包容的服務。</v>
      </c>
      <c r="P358" s="1"/>
      <c r="Q358" s="1"/>
      <c r="R358" s="1"/>
      <c r="S358" s="1"/>
      <c r="T358" s="1"/>
      <c r="U358" s="1"/>
      <c r="V358" s="1"/>
      <c r="W358" s="1"/>
      <c r="X358" s="1"/>
      <c r="Y358" s="1"/>
      <c r="Z358" s="1"/>
      <c r="AA358" s="1"/>
      <c r="AB358" s="1"/>
    </row>
    <row r="359" ht="70.5" hidden="1" customHeight="1" outlineLevel="1">
      <c r="A359" s="1" t="s">
        <v>519</v>
      </c>
      <c r="B359" s="1" t="s">
        <v>537</v>
      </c>
      <c r="C359" s="1" t="s">
        <v>1188</v>
      </c>
      <c r="D359" s="1" t="s">
        <v>1189</v>
      </c>
      <c r="E359" s="27">
        <v>45476.0</v>
      </c>
      <c r="F359" s="1" t="s">
        <v>1190</v>
      </c>
      <c r="G359" s="7" t="s">
        <v>1191</v>
      </c>
      <c r="H359" s="16"/>
      <c r="I359" s="4"/>
      <c r="J359" s="4" t="b">
        <v>0</v>
      </c>
      <c r="K359" s="4" t="b">
        <v>0</v>
      </c>
      <c r="L359" s="1" t="s">
        <v>1192</v>
      </c>
      <c r="M359" s="6"/>
      <c r="N359" s="1" t="s">
        <v>1193</v>
      </c>
      <c r="O359" s="1" t="str">
        <f>IFERROR(__xludf.DUMMYFUNCTION("GOOGLETRANSLATE(F359,""zh-CN"",""zh-TW"") "),"作者對於 FOSS 商業模型的失敗的看法和主流不同。
開源本身並不是目的，而是達到目的的一種手段，這就是自由：修復損壞的東西的自由，免於那些認為自己可以緊緊抓住源代碼並利用我們的無知的人的自由。")</f>
        <v>作者對於 FOSS 商業模型的失敗的看法和主流不同。
開源本身並不是目的，而是達到目的的一種手段，這就是自由：修復損壞的東西的自由，免於那些認為自己可以緊緊抓住源代碼並利用我們的無知的人的自由。</v>
      </c>
      <c r="P359" s="1"/>
      <c r="Q359" s="1"/>
      <c r="R359" s="1"/>
      <c r="S359" s="1"/>
      <c r="T359" s="1"/>
      <c r="U359" s="1"/>
      <c r="V359" s="1"/>
      <c r="W359" s="1"/>
      <c r="X359" s="1"/>
      <c r="Y359" s="1"/>
      <c r="Z359" s="1"/>
      <c r="AA359" s="1"/>
      <c r="AB359" s="1"/>
    </row>
    <row r="360" hidden="1" outlineLevel="1">
      <c r="A360" s="1" t="s">
        <v>519</v>
      </c>
      <c r="B360" s="1" t="s">
        <v>799</v>
      </c>
      <c r="C360" s="1" t="s">
        <v>1155</v>
      </c>
      <c r="D360" s="17" t="s">
        <v>1194</v>
      </c>
      <c r="E360" s="27">
        <v>45499.0</v>
      </c>
      <c r="F360" s="1" t="s">
        <v>1195</v>
      </c>
      <c r="G360" s="7" t="s">
        <v>1196</v>
      </c>
      <c r="H360" s="16"/>
      <c r="I360" s="4"/>
      <c r="J360" s="4" t="b">
        <v>0</v>
      </c>
      <c r="K360" s="4" t="b">
        <v>0</v>
      </c>
      <c r="L360" s="1" t="s">
        <v>1197</v>
      </c>
      <c r="M360" s="6"/>
      <c r="N360" s="1"/>
      <c r="O360" s="1" t="str">
        <f>IFERROR(__xludf.DUMMYFUNCTION("GOOGLETRANSLATE(F360,""zh-CN"",""zh-TW"") "),"美國、歐盟等國政府開始要求軟件供應商建立 SBOM 軟件物料清單，就連臺灣食藥局也有相關要求。國際自動化協會臺灣分會會長林上智歸納了企業SBOM在應用和實踐上常見的挑戰和迷思，並提出應對的建議。
迷思1: SBOM 表可以用各種格式和方法產生
迷思2: SBOM中只需列出自行開發的軟件，對於使用的開源軟件或商用套裝軟件則不需列入
迷思3: SBOM表只要購買商業軟件或掃描工具就可以自動建立，不需要人為介入
迷思4:SBOM表產生後，就意謂完成所有工作
迷思5:SBOM產生需要掃描代碼，沒有代碼就無法生成
"&amp;"迷思6:使用SBOM表掃描已知漏洞，沒有掃描到代表就很安全")</f>
        <v>美國、歐盟等國政府開始要求軟件供應商建立 SBOM 軟件物料清單，就連臺灣食藥局也有相關要求。國際自動化協會臺灣分會會長林上智歸納了企業SBOM在應用和實踐上常見的挑戰和迷思，並提出應對的建議。
迷思1: SBOM 表可以用各種格式和方法產生
迷思2: SBOM中只需列出自行開發的軟件，對於使用的開源軟件或商用套裝軟件則不需列入
迷思3: SBOM表只要購買商業軟件或掃描工具就可以自動建立，不需要人為介入
迷思4:SBOM表產生後，就意謂完成所有工作
迷思5:SBOM產生需要掃描代碼，沒有代碼就無法生成
迷思6:使用SBOM表掃描已知漏洞，沒有掃描到代表就很安全</v>
      </c>
      <c r="P360" s="1"/>
      <c r="Q360" s="1"/>
      <c r="R360" s="1"/>
      <c r="S360" s="1"/>
      <c r="T360" s="1"/>
      <c r="U360" s="1"/>
      <c r="V360" s="1"/>
      <c r="W360" s="1"/>
      <c r="X360" s="1"/>
      <c r="Y360" s="1"/>
      <c r="Z360" s="1"/>
      <c r="AA360" s="1"/>
      <c r="AB360" s="1"/>
    </row>
    <row r="361" hidden="1" outlineLevel="1">
      <c r="A361" s="1" t="s">
        <v>519</v>
      </c>
      <c r="B361" s="1" t="s">
        <v>799</v>
      </c>
      <c r="C361" s="1" t="s">
        <v>1155</v>
      </c>
      <c r="D361" s="17" t="s">
        <v>1198</v>
      </c>
      <c r="E361" s="27">
        <v>45498.0</v>
      </c>
      <c r="F361" s="1" t="s">
        <v>1199</v>
      </c>
      <c r="G361" s="7" t="s">
        <v>1200</v>
      </c>
      <c r="H361" s="16"/>
      <c r="I361" s="4"/>
      <c r="J361" s="4" t="b">
        <v>0</v>
      </c>
      <c r="K361" s="4" t="b">
        <v>0</v>
      </c>
      <c r="L361" s="1" t="s">
        <v>1201</v>
      </c>
      <c r="M361" s="6"/>
      <c r="N361" s="1"/>
      <c r="O361" s="1" t="str">
        <f>IFERROR(__xludf.DUMMYFUNCTION("GOOGLETRANSLATE(F361,""zh-CN"",""zh-TW"") "),"國泰金控工程師分享 SBOM 四大好處:
1.提供軟件元件的可見性和透明度，增強軟件供應鏈的安全性
2. 通過詳細的元件列表，可用於漏洞管理，並能在攻擊發生後協助進行事件還原。
3. 一旦遇到特定漏洞時，就可以快速知道公司是否使用這些元件，並可用於風險評估以確定修補程式的優先順序
4. SBOM 還可以提供授權信息，確保符合合規及監管要求，像是金融業。")</f>
        <v>國泰金控工程師分享 SBOM 四大好處:
1.提供軟件元件的可見性和透明度，增強軟件供應鏈的安全性
2. 通過詳細的元件列表，可用於漏洞管理，並能在攻擊發生後協助進行事件還原。
3. 一旦遇到特定漏洞時，就可以快速知道公司是否使用這些元件，並可用於風險評估以確定修補程式的優先順序
4. SBOM 還可以提供授權信息，確保符合合規及監管要求，像是金融業。</v>
      </c>
      <c r="P361" s="1"/>
      <c r="Q361" s="1"/>
      <c r="R361" s="1"/>
      <c r="S361" s="1"/>
      <c r="T361" s="1"/>
      <c r="U361" s="1"/>
      <c r="V361" s="1"/>
      <c r="W361" s="1"/>
      <c r="X361" s="1"/>
      <c r="Y361" s="1"/>
      <c r="Z361" s="1"/>
      <c r="AA361" s="1"/>
      <c r="AB361" s="1"/>
    </row>
    <row r="362" hidden="1" outlineLevel="1">
      <c r="A362" s="1" t="s">
        <v>507</v>
      </c>
      <c r="B362" s="1" t="s">
        <v>520</v>
      </c>
      <c r="C362" s="1" t="s">
        <v>1155</v>
      </c>
      <c r="D362" s="17" t="s">
        <v>1202</v>
      </c>
      <c r="E362" s="27">
        <v>45498.0</v>
      </c>
      <c r="F362" s="1" t="s">
        <v>1203</v>
      </c>
      <c r="G362" s="7" t="s">
        <v>1204</v>
      </c>
      <c r="H362" s="9" t="s">
        <v>1205</v>
      </c>
      <c r="I362" s="4"/>
      <c r="J362" s="4" t="b">
        <v>0</v>
      </c>
      <c r="K362" s="4" t="b">
        <v>0</v>
      </c>
      <c r="L362" s="1" t="s">
        <v>1206</v>
      </c>
      <c r="M362" s="6"/>
      <c r="N362" s="1"/>
      <c r="O362" s="1" t="str">
        <f>IFERROR(__xludf.DUMMYFUNCTION("GOOGLETRANSLATE(F362,""zh-CN"",""zh-TW"") "),"Overture Maps 基金會，是為了對抗封閉的 Google 地圖所建立的組織，由 AWS、微軟、Meta 及 TomTom共同創立。
基金會正式發表開放地圖資料集，企圖提供一個連接不同資料集的系統，來簡化其互通性，同時推動一個紀錄圖資的通用架構，以創造容易使用的地圖資料。此地圖包括全球23億個建築物，5千多萬個興趣點，支援逾40種語言的國家及地區的行政邊界，以及涵蓋水及土地的基礎資料。")</f>
        <v>Overture Maps 基金會，是為了對抗封閉的 Google 地圖所建立的組織，由 AWS、微軟、Meta 及 TomTom共同創立。
基金會正式發表開放地圖資料集，企圖提供一個連接不同資料集的系統，來簡化其互通性，同時推動一個紀錄圖資的通用架構，以創造容易使用的地圖資料。此地圖包括全球23億個建築物，5千多萬個興趣點，支援逾40種語言的國家及地區的行政邊界，以及涵蓋水及土地的基礎資料。</v>
      </c>
      <c r="P362" s="1"/>
      <c r="Q362" s="1"/>
      <c r="R362" s="1"/>
      <c r="S362" s="1"/>
      <c r="T362" s="1"/>
      <c r="U362" s="1"/>
      <c r="V362" s="1"/>
      <c r="W362" s="1"/>
      <c r="X362" s="1"/>
      <c r="Y362" s="1"/>
      <c r="Z362" s="1"/>
      <c r="AA362" s="1"/>
      <c r="AB362" s="1"/>
    </row>
    <row r="363" hidden="1" outlineLevel="1">
      <c r="A363" s="1" t="s">
        <v>519</v>
      </c>
      <c r="B363" s="1" t="s">
        <v>520</v>
      </c>
      <c r="C363" s="1" t="s">
        <v>1155</v>
      </c>
      <c r="D363" s="1" t="s">
        <v>1207</v>
      </c>
      <c r="E363" s="27">
        <v>45491.0</v>
      </c>
      <c r="F363" s="1" t="s">
        <v>1208</v>
      </c>
      <c r="G363" s="7" t="s">
        <v>1209</v>
      </c>
      <c r="H363" s="16"/>
      <c r="I363" s="4"/>
      <c r="J363" s="4" t="b">
        <v>0</v>
      </c>
      <c r="K363" s="4" t="b">
        <v>0</v>
      </c>
      <c r="L363" s="1" t="s">
        <v>1210</v>
      </c>
      <c r="M363" s="6"/>
      <c r="N363" s="1"/>
      <c r="O363" s="1" t="str">
        <f>IFERROR(__xludf.DUMMYFUNCTION("GOOGLETRANSLATE(F363,""zh-CN"",""zh-TW"") "),"Google 本週開源 AI 代理人項目 Project Oscar，以用來協助維護擁有眾多貢獻者的開源項目。 Oscar 與許多以大型語言模型（LLM）來協助開發的項目不同，它並不企圖強化或取代撰寫代碼的程序，而是專注於處理貢獻者所提出的問題，以及於現有的文件中找出相關問題的解答或解釋。")</f>
        <v>Google 本週開源 AI 代理人項目 Project Oscar，以用來協助維護擁有眾多貢獻者的開源項目。 Oscar 與許多以大型語言模型（LLM）來協助開發的項目不同，它並不企圖強化或取代撰寫代碼的程序，而是專注於處理貢獻者所提出的問題，以及於現有的文件中找出相關問題的解答或解釋。</v>
      </c>
      <c r="P363" s="1"/>
      <c r="Q363" s="1"/>
      <c r="R363" s="1"/>
      <c r="S363" s="1"/>
      <c r="T363" s="1"/>
      <c r="U363" s="1"/>
      <c r="V363" s="1"/>
      <c r="W363" s="1"/>
      <c r="X363" s="1"/>
      <c r="Y363" s="1"/>
      <c r="Z363" s="1"/>
      <c r="AA363" s="1"/>
      <c r="AB363" s="1"/>
    </row>
    <row r="364" hidden="1" outlineLevel="1">
      <c r="A364" s="1" t="s">
        <v>519</v>
      </c>
      <c r="B364" s="1" t="s">
        <v>599</v>
      </c>
      <c r="C364" s="1" t="s">
        <v>755</v>
      </c>
      <c r="D364" s="17" t="s">
        <v>1211</v>
      </c>
      <c r="E364" s="27">
        <v>45504.0</v>
      </c>
      <c r="F364" s="1" t="s">
        <v>1212</v>
      </c>
      <c r="G364" s="7" t="s">
        <v>1213</v>
      </c>
      <c r="H364" s="16"/>
      <c r="I364" s="4"/>
      <c r="J364" s="4" t="b">
        <v>0</v>
      </c>
      <c r="K364" s="4" t="b">
        <v>0</v>
      </c>
      <c r="L364" s="1" t="s">
        <v>1214</v>
      </c>
      <c r="M364" s="6"/>
      <c r="N364" s="1"/>
      <c r="O364" s="1" t="str">
        <f>IFERROR(__xludf.DUMMYFUNCTION("GOOGLETRANSLATE(F364,""zh-CN"",""zh-TW"") "),"此文提供面對惡意開源套件之應對流程和先進的安全解決方案
1. 安全團隊和開發人員必須有效協作，採用能夠原生解決開源軟件和軟件供應鏈的獨特風險的工具，尤其是涉及新型惡意軟件威脅的工具。
2. 提供七個關鍵步驟，以顯著降低將惡意元件引入開發流程的風險，從而確保安全且有彈性的軟件供應鏈。
3. OpenSSF 推出了惡意開源軟件包儲存庫，為一用於收集和發布惡意套件跨生態系統報告的開源系統，這是一項開放且由貢獻者驅動的計劃。並鼓勵貢獻者加入。")</f>
        <v>此文提供面對惡意開源套件之應對流程和先進的安全解決方案
1. 安全團隊和開發人員必須有效協作，採用能夠原生解決開源軟件和軟件供應鏈的獨特風險的工具，尤其是涉及新型惡意軟件威脅的工具。
2. 提供七個關鍵步驟，以顯著降低將惡意元件引入開發流程的風險，從而確保安全且有彈性的軟件供應鏈。
3. OpenSSF 推出了惡意開源軟件包儲存庫，為一用於收集和發布惡意套件跨生態系統報告的開源系統，這是一項開放且由貢獻者驅動的計劃。並鼓勵貢獻者加入。</v>
      </c>
      <c r="P364" s="1"/>
      <c r="Q364" s="1"/>
      <c r="R364" s="1"/>
      <c r="S364" s="1"/>
      <c r="T364" s="1"/>
      <c r="U364" s="1"/>
      <c r="V364" s="1"/>
      <c r="W364" s="1"/>
      <c r="X364" s="1"/>
      <c r="Y364" s="1"/>
      <c r="Z364" s="1"/>
      <c r="AA364" s="1"/>
      <c r="AB364" s="1"/>
    </row>
    <row r="365" hidden="1" outlineLevel="1">
      <c r="A365" s="1" t="s">
        <v>507</v>
      </c>
      <c r="B365" s="1" t="s">
        <v>594</v>
      </c>
      <c r="C365" s="1" t="s">
        <v>1215</v>
      </c>
      <c r="D365" s="1" t="s">
        <v>1216</v>
      </c>
      <c r="E365" s="27">
        <v>45476.0</v>
      </c>
      <c r="F365" s="1" t="s">
        <v>1217</v>
      </c>
      <c r="G365" s="7" t="s">
        <v>1218</v>
      </c>
      <c r="H365" s="16"/>
      <c r="I365" s="4"/>
      <c r="J365" s="4" t="b">
        <v>0</v>
      </c>
      <c r="K365" s="4" t="b">
        <v>0</v>
      </c>
      <c r="L365" s="1" t="s">
        <v>1219</v>
      </c>
      <c r="M365" s="6"/>
      <c r="N365" s="1" t="s">
        <v>1220</v>
      </c>
      <c r="O365" s="1" t="str">
        <f>IFERROR(__xludf.DUMMYFUNCTION("GOOGLETRANSLATE(F365,""zh-CN"",""zh-TW"") "),"巴西國家資料保護機構週二裁定，Instagram 和 Facebook 的母公司 Meta 不得使用源自該國的資料來訓練其人工智能。
決定源於「受影響資料主體的基本權利面臨嚴重且不可挽回或難以修復的損害的迫在眉睫的風險」。")</f>
        <v>巴西國家資料保護機構週二裁定，Instagram 和 Facebook 的母公司 Meta 不得使用源自該國的資料來訓練其人工智能。
決定源於「受影響資料主體的基本權利面臨嚴重且不可挽回或難以修復的損害的迫在眉睫的風險」。</v>
      </c>
      <c r="P365" s="1"/>
      <c r="Q365" s="1"/>
      <c r="R365" s="1"/>
      <c r="S365" s="1"/>
      <c r="T365" s="1"/>
      <c r="U365" s="1"/>
      <c r="V365" s="1"/>
      <c r="W365" s="1"/>
      <c r="X365" s="1"/>
      <c r="Y365" s="1"/>
      <c r="Z365" s="1"/>
      <c r="AA365" s="1"/>
      <c r="AB365" s="1"/>
    </row>
    <row r="366" hidden="1" outlineLevel="1">
      <c r="A366" s="1" t="s">
        <v>519</v>
      </c>
      <c r="B366" s="1" t="s">
        <v>520</v>
      </c>
      <c r="C366" s="1" t="s">
        <v>1021</v>
      </c>
      <c r="D366" s="1" t="s">
        <v>1221</v>
      </c>
      <c r="E366" s="27">
        <v>45468.0</v>
      </c>
      <c r="F366" s="1" t="s">
        <v>1222</v>
      </c>
      <c r="G366" s="7" t="s">
        <v>1223</v>
      </c>
      <c r="H366" s="16"/>
      <c r="I366" s="4"/>
      <c r="J366" s="4" t="b">
        <v>0</v>
      </c>
      <c r="K366" s="4" t="b">
        <v>0</v>
      </c>
      <c r="L366" s="1" t="s">
        <v>1224</v>
      </c>
      <c r="M366" s="6"/>
      <c r="N366" s="1"/>
      <c r="O366" s="1" t="str">
        <f>IFERROR(__xludf.DUMMYFUNCTION("GOOGLETRANSLATE(F366,""zh-CN"",""zh-TW"") "),"Coder 是開源 CDE （雲端開發環境）供應商之一，近期取得新投資。
Coder 為平台和開發團隊提供免費的開源軟件，用於將開發環境和原始程式碼從本機電腦遷移到雲端基礎架構。
該公司預測，到 2025 年，30% 的大型企業將使用雲端開發環境來簡化開發工作流程並實現更好的可管理性，到2027 年，受到高度監管的垂直行業中 40% 的組織將強制要求使用雲端開發環境。")</f>
        <v>Coder 是開源 CDE （雲端開發環境）供應商之一，近期取得新投資。
Coder 為平台和開發團隊提供免費的開源軟件，用於將開發環境和原始程式碼從本機電腦遷移到雲端基礎架構。
該公司預測，到 2025 年，30% 的大型企業將使用雲端開發環境來簡化開發工作流程並實現更好的可管理性，到2027 年，受到高度監管的垂直行業中 40% 的組織將強制要求使用雲端開發環境。</v>
      </c>
      <c r="P366" s="1"/>
      <c r="Q366" s="1"/>
      <c r="R366" s="1"/>
      <c r="S366" s="1"/>
      <c r="T366" s="1"/>
      <c r="U366" s="1"/>
      <c r="V366" s="1"/>
      <c r="W366" s="1"/>
      <c r="X366" s="1"/>
      <c r="Y366" s="1"/>
      <c r="Z366" s="1"/>
      <c r="AA366" s="1"/>
      <c r="AB366" s="1"/>
    </row>
    <row r="367" collapsed="1">
      <c r="A367" s="1"/>
      <c r="B367" s="1"/>
      <c r="C367" s="1"/>
      <c r="D367" s="1"/>
      <c r="E367" s="28" t="s">
        <v>1225</v>
      </c>
      <c r="F367" s="1"/>
      <c r="G367" s="5"/>
      <c r="H367" s="16"/>
      <c r="I367" s="4"/>
      <c r="J367" s="4" t="b">
        <v>0</v>
      </c>
      <c r="K367" s="4" t="b">
        <v>0</v>
      </c>
      <c r="L367" s="1"/>
      <c r="M367" s="6"/>
      <c r="N367" s="1"/>
      <c r="O367" s="1" t="str">
        <f>IFERROR(__xludf.DUMMYFUNCTION("GOOGLETRANSLATE(F367,""zh-CN"",""zh-TW"") "),"#VALUE!")</f>
        <v>#VALUE!</v>
      </c>
      <c r="P367" s="1"/>
      <c r="Q367" s="1"/>
      <c r="R367" s="1"/>
      <c r="S367" s="1"/>
      <c r="T367" s="1"/>
      <c r="U367" s="1"/>
      <c r="V367" s="1"/>
      <c r="W367" s="1"/>
      <c r="X367" s="1"/>
      <c r="Y367" s="1"/>
      <c r="Z367" s="1"/>
      <c r="AA367" s="1"/>
      <c r="AB367" s="1"/>
    </row>
    <row r="368" hidden="1" outlineLevel="1">
      <c r="A368" s="1" t="s">
        <v>519</v>
      </c>
      <c r="B368" s="1" t="s">
        <v>680</v>
      </c>
      <c r="C368" s="1" t="s">
        <v>900</v>
      </c>
      <c r="D368" s="1" t="s">
        <v>1226</v>
      </c>
      <c r="E368" s="27">
        <v>45503.0</v>
      </c>
      <c r="F368" s="1" t="s">
        <v>1227</v>
      </c>
      <c r="G368" s="7" t="s">
        <v>1228</v>
      </c>
      <c r="H368" s="9" t="s">
        <v>1229</v>
      </c>
      <c r="I368" s="4"/>
      <c r="J368" s="4" t="b">
        <v>0</v>
      </c>
      <c r="K368" s="4" t="b">
        <v>0</v>
      </c>
      <c r="L368" s="1" t="s">
        <v>1230</v>
      </c>
      <c r="M368" s="6"/>
      <c r="N368" s="1"/>
      <c r="O368" s="1" t="str">
        <f>IFERROR(__xludf.DUMMYFUNCTION("GOOGLETRANSLATE(F368,""zh-CN"",""zh-TW"") "),"Linux 基金會 OpenChain Project 推出《管理您的開源軟件供應鏈》的 OpenChain 指南第二版，旨在幫助供應鏈中的公司了解和管理開源軟件。這是建立在 OpenChain 日本工作小組 2019 年構建第一版的出色貢獻的基礎上的，包含 2019 至今的市場發展。")</f>
        <v>Linux 基金會 OpenChain Project 推出《管理您的開源軟件供應鏈》的 OpenChain 指南第二版，旨在幫助供應鏈中的公司了解和管理開源軟件。這是建立在 OpenChain 日本工作小組 2019 年構建第一版的出色貢獻的基礎上的，包含 2019 至今的市場發展。</v>
      </c>
      <c r="P368" s="1"/>
      <c r="Q368" s="1"/>
      <c r="R368" s="1"/>
      <c r="S368" s="1"/>
      <c r="T368" s="1"/>
      <c r="U368" s="1"/>
      <c r="V368" s="1"/>
      <c r="W368" s="1"/>
      <c r="X368" s="1"/>
      <c r="Y368" s="1"/>
      <c r="Z368" s="1"/>
      <c r="AA368" s="1"/>
      <c r="AB368" s="1"/>
    </row>
    <row r="369" hidden="1" outlineLevel="1">
      <c r="A369" s="1" t="s">
        <v>519</v>
      </c>
      <c r="B369" s="1" t="s">
        <v>508</v>
      </c>
      <c r="C369" s="1" t="s">
        <v>1021</v>
      </c>
      <c r="D369" s="1" t="s">
        <v>1231</v>
      </c>
      <c r="E369" s="27">
        <v>45504.0</v>
      </c>
      <c r="F369" s="1" t="s">
        <v>1232</v>
      </c>
      <c r="G369" s="7" t="s">
        <v>1233</v>
      </c>
      <c r="H369" s="16"/>
      <c r="I369" s="4"/>
      <c r="J369" s="4" t="b">
        <v>0</v>
      </c>
      <c r="K369" s="4" t="b">
        <v>0</v>
      </c>
      <c r="L369" s="1" t="s">
        <v>1234</v>
      </c>
      <c r="M369" s="6"/>
      <c r="N369" s="1" t="s">
        <v>1235</v>
      </c>
      <c r="O369" s="1" t="str">
        <f>IFERROR(__xludf.DUMMYFUNCTION("GOOGLETRANSLATE(F369,""zh-CN"",""zh-TW"") "),"Google 發布三個新的「開放式」生成人工智能模型， Gemma 2 2B、ShieldGemma 和 Gemma Scope 稱其比大多數模型「更安全」、「更小」和「更透明」。
Gemma 2 2B 用於生成分析文本；ShieldGemma 是「安全分類器」的集合，試圖檢測仇恨言論、騷擾和露骨色情內容等毒性內容；Gemma Scope 允許開發人員「放大」Gemma 2 模型中的特定點，並使其內部工作原理更易於解釋。
美國商務部在初步報告中認可開放模式擴大了生成式人工智慧對小型公司、研究人員、非營"&amp;"利組織和個人開發者的可用性，同時也強調需要有能力監控此類模式的潛在風險。")</f>
        <v>Google 發布三個新的「開放式」生成人工智能模型， Gemma 2 2B、ShieldGemma 和 Gemma Scope 稱其比大多數模型「更安全」、「更小」和「更透明」。
Gemma 2 2B 用於生成分析文本；ShieldGemma 是「安全分類器」的集合，試圖檢測仇恨言論、騷擾和露骨色情內容等毒性內容；Gemma Scope 允許開發人員「放大」Gemma 2 模型中的特定點，並使其內部工作原理更易於解釋。
美國商務部在初步報告中認可開放模式擴大了生成式人工智慧對小型公司、研究人員、非營利組織和個人開發者的可用性，同時也強調需要有能力監控此類模式的潛在風險。</v>
      </c>
      <c r="P369" s="1"/>
      <c r="Q369" s="1"/>
      <c r="R369" s="1"/>
      <c r="S369" s="1"/>
      <c r="T369" s="1"/>
      <c r="U369" s="1"/>
      <c r="V369" s="1"/>
      <c r="W369" s="1"/>
      <c r="X369" s="1"/>
      <c r="Y369" s="1"/>
      <c r="Z369" s="1"/>
      <c r="AA369" s="1"/>
      <c r="AB369" s="1"/>
    </row>
    <row r="370" hidden="1" outlineLevel="1">
      <c r="A370" s="1" t="s">
        <v>519</v>
      </c>
      <c r="B370" s="1" t="s">
        <v>508</v>
      </c>
      <c r="C370" s="1" t="s">
        <v>1236</v>
      </c>
      <c r="D370" s="25" t="s">
        <v>1237</v>
      </c>
      <c r="E370" s="27">
        <v>45497.0</v>
      </c>
      <c r="F370" s="17" t="s">
        <v>1238</v>
      </c>
      <c r="G370" s="7" t="s">
        <v>1239</v>
      </c>
      <c r="H370" s="16"/>
      <c r="I370" s="4"/>
      <c r="J370" s="4" t="b">
        <v>1</v>
      </c>
      <c r="K370" s="4" t="b">
        <v>1</v>
      </c>
      <c r="L370" s="1" t="s">
        <v>1240</v>
      </c>
      <c r="M370" s="6"/>
      <c r="N370" s="1"/>
      <c r="O370" s="1" t="str">
        <f>IFERROR(__xludf.DUMMYFUNCTION("GOOGLETRANSLATE(F370,""zh-CN"",""zh-TW"") "),"OSI 執行長 Stefano Maffulli 在聯合國「OSPOs for Good」活動中強調了將開放原始碼的原則應用於 AI 的重要性。
-為實現 AI 的開放原始碼，需要解決資料、程式碼、法律框架等多個方面的問題
-政府須協調資料規範、建立公開資料集和促進學術界、小型開發者和全球南方參與方面發揮作用。
-開放原始碼 AI 的發展需要軟件世界和數據科學領域之間更多的互動和學習
-開放原始碼 AI 的未來發展方向：需要維持社會對技術的掌控權，並確保私營部門、公共部門、非營利部門和經常被忽視的第四部門"&amp;"（包括為公共利益而非盈利而工作的開發商和創造者）之間的平衡權力平衡。")</f>
        <v>OSI 執行長 Stefano Maffulli 在聯合國「OSPOs for Good」活動中強調了將開放原始碼的原則應用於 AI 的重要性。
-為實現 AI 的開放原始碼，需要解決資料、程式碼、法律框架等多個方面的問題
-政府須協調資料規範、建立公開資料集和促進學術界、小型開發者和全球南方參與方面發揮作用。
-開放原始碼 AI 的發展需要軟件世界和數據科學領域之間更多的互動和學習
-開放原始碼 AI 的未來發展方向：需要維持社會對技術的掌控權，並確保私營部門、公共部門、非營利部門和經常被忽視的第四部門（包括為公共利益而非盈利而工作的開發商和創造者）之間的平衡權力平衡。</v>
      </c>
      <c r="P370" s="1"/>
      <c r="Q370" s="1"/>
      <c r="R370" s="1"/>
      <c r="S370" s="1"/>
      <c r="T370" s="1"/>
      <c r="U370" s="1"/>
      <c r="V370" s="1"/>
      <c r="W370" s="1"/>
      <c r="X370" s="1"/>
      <c r="Y370" s="1"/>
      <c r="Z370" s="1"/>
      <c r="AA370" s="1"/>
      <c r="AB370" s="1"/>
    </row>
    <row r="371" hidden="1" outlineLevel="1">
      <c r="A371" s="1" t="s">
        <v>519</v>
      </c>
      <c r="B371" s="1" t="s">
        <v>569</v>
      </c>
      <c r="C371" s="1" t="s">
        <v>755</v>
      </c>
      <c r="D371" s="1" t="s">
        <v>1241</v>
      </c>
      <c r="E371" s="27">
        <v>45497.0</v>
      </c>
      <c r="F371" s="1" t="s">
        <v>1242</v>
      </c>
      <c r="G371" s="7" t="s">
        <v>1243</v>
      </c>
      <c r="H371" s="16"/>
      <c r="I371" s="4"/>
      <c r="J371" s="4" t="b">
        <v>0</v>
      </c>
      <c r="K371" s="4" t="b">
        <v>0</v>
      </c>
      <c r="L371" s="1" t="s">
        <v>1244</v>
      </c>
      <c r="M371" s="6"/>
      <c r="N371" s="1"/>
      <c r="O371" s="1" t="str">
        <f>IFERROR(__xludf.DUMMYFUNCTION("GOOGLETRANSLATE(F371,""zh-CN"",""zh-TW"") "),"安全開源軟件 (SOSS) Fusion 會議 (10/22-23) 議程投稿內容
50% 軟件開發和開源軟件以及人工智慧和安全領域。
20% OSS 消耗和最終用戶的主題。
30% 各種主題，例如多元化和社區發展、公共政策、OSPO 和安全以及安全教育
近 60% 的提交內容來自多元化、公平和包容性背景，略多於 40% 的提交內容來自美國和加拿大以外的全球社區。")</f>
        <v>安全開源軟件 (SOSS) Fusion 會議 (10/22-23) 議程投稿內容
50% 軟件開發和開源軟件以及人工智慧和安全領域。
20% OSS 消耗和最終用戶的主題。
30% 各種主題，例如多元化和社區發展、公共政策、OSPO 和安全以及安全教育
近 60% 的提交內容來自多元化、公平和包容性背景，略多於 40% 的提交內容來自美國和加拿大以外的全球社區。</v>
      </c>
      <c r="P371" s="1"/>
      <c r="Q371" s="1"/>
      <c r="R371" s="1"/>
      <c r="S371" s="1"/>
      <c r="T371" s="1"/>
      <c r="U371" s="1"/>
      <c r="V371" s="1"/>
      <c r="W371" s="1"/>
      <c r="X371" s="1"/>
      <c r="Y371" s="1"/>
      <c r="Z371" s="1"/>
      <c r="AA371" s="1"/>
      <c r="AB371" s="1"/>
    </row>
    <row r="372" hidden="1" outlineLevel="1">
      <c r="A372" s="1" t="s">
        <v>574</v>
      </c>
      <c r="B372" s="1" t="s">
        <v>529</v>
      </c>
      <c r="C372" s="1" t="s">
        <v>1245</v>
      </c>
      <c r="D372" s="1" t="s">
        <v>1246</v>
      </c>
      <c r="E372" s="27">
        <v>45467.0</v>
      </c>
      <c r="F372" s="1" t="s">
        <v>1247</v>
      </c>
      <c r="G372" s="7" t="s">
        <v>1248</v>
      </c>
      <c r="H372" s="16"/>
      <c r="I372" s="4"/>
      <c r="J372" s="4" t="b">
        <v>0</v>
      </c>
      <c r="K372" s="4" t="b">
        <v>0</v>
      </c>
      <c r="L372" s="1" t="s">
        <v>1249</v>
      </c>
      <c r="M372" s="6"/>
      <c r="N372" s="1" t="s">
        <v>1250</v>
      </c>
      <c r="O372" s="1" t="str">
        <f>IFERROR(__xludf.DUMMYFUNCTION("GOOGLETRANSLATE(F372,""zh-CN"",""zh-TW"") "),"監管機構在周一的初步裁決中表示，蘋果的應用商店「指導」政策違反了旨在鼓勵競爭的歐盟數字市場法案。歐盟委員會也對蘋果對歐洲替代 iOS 市場的支持展開了新的調查，包括向開發者收取的核心技術費用。")</f>
        <v>監管機構在周一的初步裁決中表示，蘋果的應用商店「指導」政策違反了旨在鼓勵競爭的歐盟數字市場法案。歐盟委員會也對蘋果對歐洲替代 iOS 市場的支持展開了新的調查，包括向開發者收取的核心技術費用。</v>
      </c>
      <c r="P372" s="1"/>
      <c r="Q372" s="1"/>
      <c r="R372" s="1"/>
      <c r="S372" s="1"/>
      <c r="T372" s="1"/>
      <c r="U372" s="1"/>
      <c r="V372" s="1"/>
      <c r="W372" s="1"/>
      <c r="X372" s="1"/>
      <c r="Y372" s="1"/>
      <c r="Z372" s="1"/>
      <c r="AA372" s="1"/>
      <c r="AB372" s="1"/>
    </row>
    <row r="373" hidden="1" outlineLevel="1">
      <c r="A373" s="1" t="s">
        <v>574</v>
      </c>
      <c r="B373" s="1" t="s">
        <v>529</v>
      </c>
      <c r="C373" s="1" t="s">
        <v>1245</v>
      </c>
      <c r="D373" s="1" t="s">
        <v>1251</v>
      </c>
      <c r="E373" s="27">
        <v>45468.0</v>
      </c>
      <c r="F373" s="1" t="s">
        <v>1252</v>
      </c>
      <c r="G373" s="7" t="s">
        <v>1253</v>
      </c>
      <c r="H373" s="16"/>
      <c r="I373" s="4"/>
      <c r="J373" s="4" t="b">
        <v>0</v>
      </c>
      <c r="K373" s="4" t="b">
        <v>0</v>
      </c>
      <c r="L373" s="1" t="s">
        <v>1254</v>
      </c>
      <c r="M373" s="6"/>
      <c r="N373" s="1"/>
      <c r="O373" s="1" t="str">
        <f>IFERROR(__xludf.DUMMYFUNCTION("GOOGLETRANSLATE(F373,""zh-CN"",""zh-TW"") "),"歐盟監管機構指控微軟非法將 Teams 聊天應用與其 Office 365 和 Microsoft 365 訂閱捆綁在一起。這是微軟 15 年來首次在歐盟被指控違反反壟斷法，此前發生了兩起與 Windows Media Player 和 Internet Explorer 捆綁相關的重大案件。")</f>
        <v>歐盟監管機構指控微軟非法將 Teams 聊天應用與其 Office 365 和 Microsoft 365 訂閱捆綁在一起。這是微軟 15 年來首次在歐盟被指控違反反壟斷法，此前發生了兩起與 Windows Media Player 和 Internet Explorer 捆綁相關的重大案件。</v>
      </c>
      <c r="P373" s="1"/>
      <c r="Q373" s="1"/>
      <c r="R373" s="1"/>
      <c r="S373" s="1"/>
      <c r="T373" s="1"/>
      <c r="U373" s="1"/>
      <c r="V373" s="1"/>
      <c r="W373" s="1"/>
      <c r="X373" s="1"/>
      <c r="Y373" s="1"/>
      <c r="Z373" s="1"/>
      <c r="AA373" s="1"/>
      <c r="AB373" s="1"/>
    </row>
    <row r="374" hidden="1" outlineLevel="1">
      <c r="A374" s="1" t="s">
        <v>519</v>
      </c>
      <c r="B374" s="1" t="s">
        <v>508</v>
      </c>
      <c r="C374" s="1" t="s">
        <v>1077</v>
      </c>
      <c r="D374" s="1" t="s">
        <v>1255</v>
      </c>
      <c r="E374" s="27">
        <v>45497.0</v>
      </c>
      <c r="F374" s="1" t="s">
        <v>1256</v>
      </c>
      <c r="G374" s="7" t="s">
        <v>1257</v>
      </c>
      <c r="H374" s="16"/>
      <c r="I374" s="4"/>
      <c r="J374" s="4" t="b">
        <v>0</v>
      </c>
      <c r="K374" s="4" t="b">
        <v>0</v>
      </c>
      <c r="L374" s="1" t="s">
        <v>1258</v>
      </c>
      <c r="M374" s="6"/>
      <c r="N374" s="1"/>
      <c r="O374" s="1" t="str">
        <f>IFERROR(__xludf.DUMMYFUNCTION("GOOGLETRANSLATE(F374,""zh-CN"",""zh-TW"") "),"開源界認為 Meta 宣稱之開源人工智慧程式並非開源
Facebook 的母公司 Meta 宣布了一個名為 Llama 3.1 405B的新開源人工智能程序，開發者可在這裡檢查 Llama 3.1 https://llama.meta.com/。 Meta 執行長馬克祖克柏宣稱「開源人工智能是前進的道路、開放模型將成為標準」。
但OSI 與 Linux開發人員都不認為他是開源的。原因是:
- 未使用OSI 核准的開源授權
- Llama 對任何開發者來說都是一種責任；太不透明而無法安全使用，並且其許可證"&amp;"最終讓 Meta 負責他們的創新。
- 仍限制哪些公司可以使用該軟件")</f>
        <v>開源界認為 Meta 宣稱之開源人工智慧程式並非開源
Facebook 的母公司 Meta 宣布了一個名為 Llama 3.1 405B的新開源人工智能程序，開發者可在這裡檢查 Llama 3.1 https://llama.meta.com/。 Meta 執行長馬克祖克柏宣稱「開源人工智能是前進的道路、開放模型將成為標準」。
但OSI 與 Linux開發人員都不認為他是開源的。原因是:
- 未使用OSI 核准的開源授權
- Llama 對任何開發者來說都是一種責任；太不透明而無法安全使用，並且其許可證最終讓 Meta 負責他們的創新。
- 仍限制哪些公司可以使用該軟件</v>
      </c>
      <c r="P374" s="1"/>
      <c r="Q374" s="1"/>
      <c r="R374" s="1"/>
      <c r="S374" s="1"/>
      <c r="T374" s="1"/>
      <c r="U374" s="1"/>
      <c r="V374" s="1"/>
      <c r="W374" s="1"/>
      <c r="X374" s="1"/>
      <c r="Y374" s="1"/>
      <c r="Z374" s="1"/>
      <c r="AA374" s="1"/>
      <c r="AB374" s="1"/>
    </row>
    <row r="375" hidden="1" outlineLevel="1">
      <c r="A375" s="1" t="s">
        <v>519</v>
      </c>
      <c r="B375" s="1" t="s">
        <v>508</v>
      </c>
      <c r="C375" s="1" t="s">
        <v>1072</v>
      </c>
      <c r="D375" s="1" t="s">
        <v>1259</v>
      </c>
      <c r="E375" s="27">
        <v>45490.0</v>
      </c>
      <c r="F375" s="1" t="s">
        <v>1260</v>
      </c>
      <c r="G375" s="7" t="s">
        <v>1261</v>
      </c>
      <c r="H375" s="16"/>
      <c r="I375" s="4"/>
      <c r="J375" s="4" t="b">
        <v>0</v>
      </c>
      <c r="K375" s="4" t="b">
        <v>0</v>
      </c>
      <c r="L375" s="1" t="s">
        <v>1262</v>
      </c>
      <c r="M375" s="6"/>
      <c r="N375" s="1"/>
      <c r="O375" s="1" t="str">
        <f>IFERROR(__xludf.DUMMYFUNCTION("GOOGLETRANSLATE(F375,""zh-CN"",""zh-TW"") "),"NVIDIA 全面轉向開源Linux GPU 核心模組
透過 R515 驅動程序，NVIDIA 於 2022 年 5 月以開源方式發布了一組Linux GPU 核心模組，具有 GPL 和 MIT 雙重授權。初始版本針對資料中心計算 GPU，其中 GeForce 和工作站 GPU 處於 alpha 狀態。")</f>
        <v>NVIDIA 全面轉向開源Linux GPU 核心模組
透過 R515 驅動程序，NVIDIA 於 2022 年 5 月以開源方式發布了一組Linux GPU 核心模組，具有 GPL 和 MIT 雙重授權。初始版本針對資料中心計算 GPU，其中 GeForce 和工作站 GPU 處於 alpha 狀態。</v>
      </c>
      <c r="P375" s="1"/>
      <c r="Q375" s="1"/>
      <c r="R375" s="1"/>
      <c r="S375" s="1"/>
      <c r="T375" s="1"/>
      <c r="U375" s="1"/>
      <c r="V375" s="1"/>
      <c r="W375" s="1"/>
      <c r="X375" s="1"/>
      <c r="Y375" s="1"/>
      <c r="Z375" s="1"/>
      <c r="AA375" s="1"/>
      <c r="AB375" s="1"/>
    </row>
    <row r="376" hidden="1" outlineLevel="1">
      <c r="A376" s="1" t="s">
        <v>519</v>
      </c>
      <c r="B376" s="1" t="s">
        <v>529</v>
      </c>
      <c r="C376" s="1" t="s">
        <v>1263</v>
      </c>
      <c r="D376" s="1" t="s">
        <v>1264</v>
      </c>
      <c r="E376" s="27">
        <v>45488.0</v>
      </c>
      <c r="F376" s="17" t="s">
        <v>1265</v>
      </c>
      <c r="G376" s="7" t="s">
        <v>1266</v>
      </c>
      <c r="H376" s="16"/>
      <c r="I376" s="4"/>
      <c r="J376" s="4" t="b">
        <v>1</v>
      </c>
      <c r="K376" s="4" t="b">
        <v>0</v>
      </c>
      <c r="L376" s="1" t="s">
        <v>1267</v>
      </c>
      <c r="M376" s="6"/>
      <c r="N376" s="1"/>
      <c r="O376" s="1" t="str">
        <f>IFERROR(__xludf.DUMMYFUNCTION("GOOGLETRANSLATE(F376,""zh-CN"",""zh-TW"") "),"在聯合國 OSPO for Good 會議上的“青年與開源”分組討論中，尼日利亞年輕開源項目經理 Ruth Ikegah 的話說：“我們這裡需要更多年輕人，因為我在這裡看到多數人都有年紀了。”
文章也提到，大多數活動都是為經驗豐富的開源人士而不是初學者舉辦的。 Linux 基金會活動中看到了更多白髮。
「讓人們維護舊程式碼並不容易。對於經驗豐富的程式設計師來說，倦怠，年輕的開發者想要創造新的東西。」")</f>
        <v>在聯合國 OSPO for Good 會議上的“青年與開源”分組討論中，尼日利亞年輕開源項目經理 Ruth Ikegah 的話說：“我們這裡需要更多年輕人，因為我在這裡看到多數人都有年紀了。”
文章也提到，大多數活動都是為經驗豐富的開源人士而不是初學者舉辦的。 Linux 基金會活動中看到了更多白髮。
「讓人們維護舊程式碼並不容易。對於經驗豐富的程式設計師來說，倦怠，年輕的開發者想要創造新的東西。」</v>
      </c>
      <c r="P376" s="1"/>
      <c r="Q376" s="1"/>
      <c r="R376" s="1"/>
      <c r="S376" s="1"/>
      <c r="T376" s="1"/>
      <c r="U376" s="1"/>
      <c r="V376" s="1"/>
      <c r="W376" s="1"/>
      <c r="X376" s="1"/>
      <c r="Y376" s="1"/>
      <c r="Z376" s="1"/>
      <c r="AA376" s="1"/>
      <c r="AB376" s="1"/>
    </row>
    <row r="377" hidden="1" outlineLevel="1">
      <c r="A377" s="1" t="s">
        <v>519</v>
      </c>
      <c r="B377" s="1" t="s">
        <v>529</v>
      </c>
      <c r="C377" s="1" t="s">
        <v>1077</v>
      </c>
      <c r="D377" s="1" t="s">
        <v>1268</v>
      </c>
      <c r="E377" s="27">
        <v>45496.0</v>
      </c>
      <c r="F377" s="1" t="s">
        <v>1269</v>
      </c>
      <c r="G377" s="7" t="s">
        <v>1270</v>
      </c>
      <c r="H377" s="16"/>
      <c r="I377" s="4"/>
      <c r="J377" s="4" t="b">
        <v>0</v>
      </c>
      <c r="K377" s="4" t="b">
        <v>0</v>
      </c>
      <c r="L377" s="1" t="s">
        <v>1271</v>
      </c>
      <c r="M377" s="6"/>
      <c r="N377" s="1"/>
      <c r="O377" s="1" t="str">
        <f>IFERROR(__xludf.DUMMYFUNCTION("GOOGLETRANSLATE(F377,""zh-CN"",""zh-TW"") "),"瑞士聯邦政府要求將其軟件開源
瑞士在《使用電子手段履行政府任務聯邦法》（EMBAG）方面向前邁出了一大步。這項開創性的立法要求發布聯邦政府的開源軟件（OSS），並要求將非個人和非安全敏感的政府資料作為開放政府資料 (OGD) 發布。這種雙重「預設開放」方法標誌著向軟件和資料的更大開放性和實際重用方向的重大範式轉變。此法案它旨在促進數字主權並鼓勵公共部門內的創新與合作。
瑞士學者相信每個人都將從這項法規中受益，因為它減少了公共部門的供應商鎖定，允許公司擴展其數字業務解決方案，並有可能降低 IT 成本並改善"&amp;"納稅人的服務。
歐盟 (EU) 長期以來一直致力於透過歐盟的自由開源軟件審計 (FOSSA)計畫來確保 OSS 的安全。")</f>
        <v>瑞士聯邦政府要求將其軟件開源
瑞士在《使用電子手段履行政府任務聯邦法》（EMBAG）方面向前邁出了一大步。這項開創性的立法要求發布聯邦政府的開源軟件（OSS），並要求將非個人和非安全敏感的政府資料作為開放政府資料 (OGD) 發布。這種雙重「預設開放」方法標誌著向軟件和資料的更大開放性和實際重用方向的重大範式轉變。此法案它旨在促進數字主權並鼓勵公共部門內的創新與合作。
瑞士學者相信每個人都將從這項法規中受益，因為它減少了公共部門的供應商鎖定，允許公司擴展其數字業務解決方案，並有可能降低 IT 成本並改善納稅人的服務。
歐盟 (EU) 長期以來一直致力於透過歐盟的自由開源軟件審計 (FOSSA)計畫來確保 OSS 的安全。</v>
      </c>
      <c r="P377" s="1"/>
      <c r="Q377" s="1"/>
      <c r="R377" s="1"/>
      <c r="S377" s="1"/>
      <c r="T377" s="1"/>
      <c r="U377" s="1"/>
      <c r="V377" s="1"/>
      <c r="W377" s="1"/>
      <c r="X377" s="1"/>
      <c r="Y377" s="1"/>
      <c r="Z377" s="1"/>
      <c r="AA377" s="1"/>
      <c r="AB377" s="1"/>
    </row>
    <row r="378" hidden="1" outlineLevel="1">
      <c r="A378" s="1" t="s">
        <v>519</v>
      </c>
      <c r="B378" s="1" t="s">
        <v>508</v>
      </c>
      <c r="C378" s="1" t="s">
        <v>1272</v>
      </c>
      <c r="D378" s="1" t="s">
        <v>1273</v>
      </c>
      <c r="E378" s="27">
        <v>45496.0</v>
      </c>
      <c r="F378" s="1" t="s">
        <v>1274</v>
      </c>
      <c r="G378" s="7" t="s">
        <v>1275</v>
      </c>
      <c r="H378" s="16"/>
      <c r="I378" s="4"/>
      <c r="J378" s="4" t="b">
        <v>0</v>
      </c>
      <c r="K378" s="4" t="b">
        <v>0</v>
      </c>
      <c r="L378" s="1" t="s">
        <v>1276</v>
      </c>
      <c r="M378" s="6"/>
      <c r="N378" s="1"/>
      <c r="O378" s="1" t="str">
        <f>IFERROR(__xludf.DUMMYFUNCTION("GOOGLETRANSLATE(F378,""zh-CN"",""zh-TW"") "),"記分卡透過一系列自動檢查來評估開源專案的安全風險。
OpenSSF 記分卡可以用多種不同的方式使用：
- 使用 GitHub Action在您擁有的程式碼上自動執行
- 通過命令列在您（或其他人）的項目上手動運行
記分卡檢查影響軟件供應鏈不同部分的漏洞，包括原始程式碼、建置、依賴性、測試和項目維護。")</f>
        <v>記分卡透過一系列自動檢查來評估開源專案的安全風險。
OpenSSF 記分卡可以用多種不同的方式使用：
- 使用 GitHub Action在您擁有的程式碼上自動執行
- 通過命令列在您（或其他人）的項目上手動運行
記分卡檢查影響軟件供應鏈不同部分的漏洞，包括原始程式碼、建置、依賴性、測試和項目維護。</v>
      </c>
      <c r="P378" s="1"/>
      <c r="Q378" s="1"/>
      <c r="R378" s="1"/>
      <c r="S378" s="1"/>
      <c r="T378" s="1"/>
      <c r="U378" s="1"/>
      <c r="V378" s="1"/>
      <c r="W378" s="1"/>
      <c r="X378" s="1"/>
      <c r="Y378" s="1"/>
      <c r="Z378" s="1"/>
      <c r="AA378" s="1"/>
      <c r="AB378" s="1"/>
    </row>
    <row r="379" hidden="1" outlineLevel="1">
      <c r="A379" s="1" t="s">
        <v>519</v>
      </c>
      <c r="B379" s="1" t="s">
        <v>537</v>
      </c>
      <c r="C379" s="32" t="s">
        <v>1277</v>
      </c>
      <c r="D379" s="1" t="s">
        <v>1277</v>
      </c>
      <c r="E379" s="27">
        <v>45496.0</v>
      </c>
      <c r="F379" s="1" t="s">
        <v>1278</v>
      </c>
      <c r="G379" s="7" t="s">
        <v>1279</v>
      </c>
      <c r="H379" s="16"/>
      <c r="I379" s="4" t="s">
        <v>1280</v>
      </c>
      <c r="J379" s="4" t="b">
        <v>0</v>
      </c>
      <c r="K379" s="4" t="b">
        <v>0</v>
      </c>
      <c r="L379" s="1" t="s">
        <v>1281</v>
      </c>
      <c r="M379" s="6"/>
      <c r="N379" s="1" t="s">
        <v>1282</v>
      </c>
      <c r="O379" s="1" t="str">
        <f>IFERROR(__xludf.DUMMYFUNCTION("GOOGLETRANSLATE(F379,""zh-CN"",""zh-TW"") "),"GenBook RK3588 – 具有 DIY 擴充功能的模組化開源ARM筆記本電腦
Genbook-RK3588是開放式硬件，公開 BOM 表。提供了核心和Uboot原始碼。")</f>
        <v>GenBook RK3588 – 具有 DIY 擴充功能的模組化開源ARM筆記本電腦
Genbook-RK3588是開放式硬件，公開 BOM 表。提供了核心和Uboot原始碼。</v>
      </c>
      <c r="P379" s="1"/>
      <c r="Q379" s="1"/>
      <c r="R379" s="1"/>
      <c r="S379" s="1"/>
      <c r="T379" s="1"/>
      <c r="U379" s="1"/>
      <c r="V379" s="1"/>
      <c r="W379" s="1"/>
      <c r="X379" s="1"/>
      <c r="Y379" s="1"/>
      <c r="Z379" s="1"/>
      <c r="AA379" s="1"/>
      <c r="AB379" s="1"/>
    </row>
    <row r="380" hidden="1" outlineLevel="1">
      <c r="A380" s="1" t="s">
        <v>574</v>
      </c>
      <c r="B380" s="1" t="s">
        <v>537</v>
      </c>
      <c r="C380" s="32" t="s">
        <v>838</v>
      </c>
      <c r="D380" s="34" t="s">
        <v>1283</v>
      </c>
      <c r="E380" s="73">
        <v>45506.0</v>
      </c>
      <c r="F380" s="1" t="s">
        <v>1284</v>
      </c>
      <c r="G380" s="67" t="s">
        <v>1285</v>
      </c>
      <c r="H380" s="16"/>
      <c r="I380" s="4" t="s">
        <v>1286</v>
      </c>
      <c r="J380" s="4" t="b">
        <v>0</v>
      </c>
      <c r="K380" s="4" t="b">
        <v>0</v>
      </c>
      <c r="L380" s="1" t="s">
        <v>1287</v>
      </c>
      <c r="M380" s="6"/>
      <c r="N380" s="1"/>
      <c r="O380" s="1" t="str">
        <f>IFERROR(__xludf.DUMMYFUNCTION("GOOGLETRANSLATE(F380,""zh-CN"",""zh-TW"") "),"由歐盟主導的世界首部《人工智能法案》於 8 月 1 日正式生效。
-此法案為整個歐盟的 AI 科技制定了全面、統一的監管框架，但這些規則卻主要針對美國大型科技公司而來，例如微軟、Google、Meta、OpenAI 等等，畢竟他們目前才是最先進 AI 系統的關鍵領導者。
-此法也管轄非科技公司，單純部署或使用 AI 的企業，同樣會受到規範。
-採用基於風險等級，以不同方式來監管 AI 技術，這意味著擁有不同風險程度的 AI 應用，將會被應用不同的監管方法，並非將 AI 視為一個整體並齊頭對待。
-最高可罰"&amp;"營業額 7%，比 GDPR 嚴格")</f>
        <v>由歐盟主導的世界首部《人工智能法案》於 8 月 1 日正式生效。
-此法案為整個歐盟的 AI 科技制定了全面、統一的監管框架，但這些規則卻主要針對美國大型科技公司而來，例如微軟、Google、Meta、OpenAI 等等，畢竟他們目前才是最先進 AI 系統的關鍵領導者。
-此法也管轄非科技公司，單純部署或使用 AI 的企業，同樣會受到規範。
-採用基於風險等級，以不同方式來監管 AI 技術，這意味著擁有不同風險程度的 AI 應用，將會被應用不同的監管方法，並非將 AI 視為一個整體並齊頭對待。
-最高可罰營業額 7%，比 GDPR 嚴格</v>
      </c>
      <c r="P380" s="1"/>
      <c r="Q380" s="1"/>
      <c r="R380" s="1"/>
      <c r="S380" s="1"/>
      <c r="T380" s="1"/>
      <c r="U380" s="1"/>
      <c r="V380" s="1"/>
      <c r="W380" s="1"/>
      <c r="X380" s="1"/>
      <c r="Y380" s="1"/>
      <c r="Z380" s="1"/>
      <c r="AA380" s="1"/>
      <c r="AB380" s="1"/>
    </row>
    <row r="381" hidden="1" outlineLevel="1">
      <c r="A381" s="1" t="s">
        <v>574</v>
      </c>
      <c r="B381" s="1" t="s">
        <v>537</v>
      </c>
      <c r="C381" s="1" t="s">
        <v>1155</v>
      </c>
      <c r="D381" s="1" t="s">
        <v>1288</v>
      </c>
      <c r="E381" s="27">
        <v>45509.0</v>
      </c>
      <c r="F381" s="17" t="s">
        <v>1289</v>
      </c>
      <c r="G381" s="7" t="s">
        <v>1290</v>
      </c>
      <c r="H381" s="16"/>
      <c r="I381" s="4" t="s">
        <v>1286</v>
      </c>
      <c r="J381" s="4" t="b">
        <v>1</v>
      </c>
      <c r="K381" s="4" t="b">
        <v>1</v>
      </c>
      <c r="L381" s="1" t="s">
        <v>1287</v>
      </c>
      <c r="M381" s="6"/>
      <c r="N381" s="1"/>
      <c r="O381" s="1" t="str">
        <f>IFERROR(__xludf.DUMMYFUNCTION("GOOGLETRANSLATE(F381,""zh-CN"",""zh-TW"") "),"歐盟 AI Act 定義了 4 種 AI 風險與行為準則:
大多數的 AI 系統屬於最​​小風險，例如垃圾郵件過濾程序或 AI 遊戲等，這些系統不必承擔義務，但可以自願採用額外的行為準則。其次是特定的透明度風險，要求諸如聊天機器人等系統必須明白讓使用者知道，他們正在與機器人互動，而某些由 AI 產生的內容也必須標記。
被歸類為高風險的AI系統必須符合更嚴格的要求，例如基於AI的醫療軟件，或者是用來招募人才的AI 系統等，都必須配備風險緩解系統，採用高質量的數據集，擁有清楚的用戶信息，以及受到人類監督等"&amp;"。
不管是由政府或企業主導的「社會評分」（social scoring）AI系統，都被認為威脅到人類的基本權利，而直接被禁止。")</f>
        <v>歐盟 AI Act 定義了 4 種 AI 風險與行為準則:
大多數的 AI 系統屬於最​​小風險，例如垃圾郵件過濾程序或 AI 遊戲等，這些系統不必承擔義務，但可以自願採用額外的行為準則。其次是特定的透明度風險，要求諸如聊天機器人等系統必須明白讓使用者知道，他們正在與機器人互動，而某些由 AI 產生的內容也必須標記。
被歸類為高風險的AI系統必須符合更嚴格的要求，例如基於AI的醫療軟件，或者是用來招募人才的AI 系統等，都必須配備風險緩解系統，採用高質量的數據集，擁有清楚的用戶信息，以及受到人類監督等。
不管是由政府或企業主導的「社會評分」（social scoring）AI系統，都被認為威脅到人類的基本權利，而直接被禁止。</v>
      </c>
      <c r="P381" s="1"/>
      <c r="Q381" s="1"/>
      <c r="R381" s="1"/>
      <c r="S381" s="1"/>
      <c r="T381" s="1"/>
      <c r="U381" s="1"/>
      <c r="V381" s="1"/>
      <c r="W381" s="1"/>
      <c r="X381" s="1"/>
      <c r="Y381" s="1"/>
      <c r="Z381" s="1"/>
      <c r="AA381" s="1"/>
      <c r="AB381" s="1"/>
    </row>
    <row r="382" hidden="1" outlineLevel="1">
      <c r="A382" s="1" t="s">
        <v>507</v>
      </c>
      <c r="B382" s="1" t="s">
        <v>1089</v>
      </c>
      <c r="C382" s="1" t="s">
        <v>1051</v>
      </c>
      <c r="D382" s="1" t="s">
        <v>1291</v>
      </c>
      <c r="E382" s="27">
        <v>45502.0</v>
      </c>
      <c r="F382" s="1" t="s">
        <v>1292</v>
      </c>
      <c r="G382" s="7" t="s">
        <v>1293</v>
      </c>
      <c r="H382" s="16"/>
      <c r="I382" s="4" t="s">
        <v>1286</v>
      </c>
      <c r="J382" s="4" t="b">
        <v>0</v>
      </c>
      <c r="K382" s="4" t="b">
        <v>0</v>
      </c>
      <c r="L382" s="1" t="s">
        <v>1294</v>
      </c>
      <c r="M382" s="6"/>
      <c r="N382" s="1"/>
      <c r="O382" s="1" t="str">
        <f>IFERROR(__xludf.DUMMYFUNCTION("GOOGLETRANSLATE(F382,""zh-CN"",""zh-TW"") "),"烏克蘭利沃夫地區 71 個社群集體採用國際開放資料憲章，旨在推動該地區的透明度和問責制。文章詳細說明了該地區為推廣開放資料所採取的措施，包括建立本地資料平台、簽署資料交換備忘錄以及培養開放資料文化。")</f>
        <v>烏克蘭利沃夫地區 71 個社群集體採用國際開放資料憲章，旨在推動該地區的透明度和問責制。文章詳細說明了該地區為推廣開放資料所採取的措施，包括建立本地資料平台、簽署資料交換備忘錄以及培養開放資料文化。</v>
      </c>
      <c r="P382" s="1"/>
      <c r="Q382" s="1"/>
      <c r="R382" s="1"/>
      <c r="S382" s="1"/>
      <c r="T382" s="1"/>
      <c r="U382" s="1"/>
      <c r="V382" s="1"/>
      <c r="W382" s="1"/>
      <c r="X382" s="1"/>
      <c r="Y382" s="1"/>
      <c r="Z382" s="1"/>
      <c r="AA382" s="1"/>
      <c r="AB382" s="1"/>
    </row>
    <row r="383" hidden="1" outlineLevel="1">
      <c r="A383" s="1" t="s">
        <v>519</v>
      </c>
      <c r="B383" s="1" t="s">
        <v>1089</v>
      </c>
      <c r="C383" s="1" t="s">
        <v>1295</v>
      </c>
      <c r="D383" s="1" t="s">
        <v>1296</v>
      </c>
      <c r="E383" s="27">
        <v>45491.0</v>
      </c>
      <c r="F383" s="17" t="s">
        <v>1297</v>
      </c>
      <c r="G383" s="7" t="s">
        <v>1298</v>
      </c>
      <c r="H383" s="55"/>
      <c r="I383" s="4" t="s">
        <v>1280</v>
      </c>
      <c r="J383" s="4" t="b">
        <v>1</v>
      </c>
      <c r="K383" s="4" t="b">
        <v>0</v>
      </c>
      <c r="L383" s="1" t="s">
        <v>1299</v>
      </c>
      <c r="M383" s="6"/>
      <c r="N383" s="1" t="s">
        <v>1300</v>
      </c>
      <c r="O383" s="1" t="str">
        <f>IFERROR(__xludf.DUMMYFUNCTION("GOOGLETRANSLATE(F383,""zh-CN"",""zh-TW"") "),"Proton Mail 新增開源 AI 寫作助手，不像 Gmai 一樣要求讀取使用者資料，：Proton 所有處理都在使用者裝置上進行本機處理，不會將任何敏感資訊傳送到 Proton，甚至不會使用 Proton 的零存取加密技術來訓練所使用的 AI 模型。如果不需要，可以停用 Proton Scribe。")</f>
        <v>Proton Mail 新增開源 AI 寫作助手，不像 Gmai 一樣要求讀取使用者資料，：Proton 所有處理都在使用者裝置上進行本機處理，不會將任何敏感資訊傳送到 Proton，甚至不會使用 Proton 的零存取加密技術來訓練所使用的 AI 模型。如果不需要，可以停用 Proton Scribe。</v>
      </c>
      <c r="P383" s="1"/>
      <c r="Q383" s="1"/>
      <c r="R383" s="1"/>
      <c r="S383" s="1"/>
      <c r="T383" s="1"/>
      <c r="U383" s="1"/>
      <c r="V383" s="1"/>
      <c r="W383" s="1"/>
      <c r="X383" s="1"/>
      <c r="Y383" s="1"/>
      <c r="Z383" s="1"/>
      <c r="AA383" s="1"/>
      <c r="AB383" s="1"/>
    </row>
    <row r="384" hidden="1" outlineLevel="1">
      <c r="A384" s="1" t="s">
        <v>782</v>
      </c>
      <c r="B384" s="1" t="s">
        <v>1089</v>
      </c>
      <c r="C384" s="1" t="s">
        <v>1301</v>
      </c>
      <c r="D384" s="1" t="s">
        <v>1302</v>
      </c>
      <c r="E384" s="27">
        <v>45525.0</v>
      </c>
      <c r="F384" s="1" t="s">
        <v>1303</v>
      </c>
      <c r="G384" s="7" t="s">
        <v>1304</v>
      </c>
      <c r="H384" s="16"/>
      <c r="I384" s="4" t="s">
        <v>1305</v>
      </c>
      <c r="J384" s="4" t="b">
        <v>0</v>
      </c>
      <c r="K384" s="4" t="b">
        <v>0</v>
      </c>
      <c r="L384" s="1"/>
      <c r="M384" s="6"/>
      <c r="N384" s="1"/>
      <c r="O384" s="1" t="str">
        <f>IFERROR(__xludf.DUMMYFUNCTION("GOOGLETRANSLATE(F384,""zh-CN"",""zh-TW"") "),"指控 Google 的 Chrome 同步功能在未經同意的情況下收集用戶資訊的訴訟已被重新提起。
2024 年 8 月 21 日，由聯邦上訴法院推翻了 2022 年 12 月的駁回裁決，原訴訟指控 Google 即使在未啟用 Chrome 同步的情況下，仍收集用戶的瀏覽歷史、IP 地址、持久性 Cookie 標識符及唯一瀏覽器標識符等信息。 Google 曾辯稱用戶在接受隱私政策時已同意這些收集行為，並得到了初審法官的支持。
然而，上訴法院認為，原審法官未充分考慮用戶是否真正理解該協議，並指出 Googl"&amp;"e 的隱私聲明不夠明確，並曾暗示用戶關閉同步後資料不會被傳送到 Google。因此，案件將重新送回下級法院審理。")</f>
        <v>指控 Google 的 Chrome 同步功能在未經同意的情況下收集用戶資訊的訴訟已被重新提起。
2024 年 8 月 21 日，由聯邦上訴法院推翻了 2022 年 12 月的駁回裁決，原訴訟指控 Google 即使在未啟用 Chrome 同步的情況下，仍收集用戶的瀏覽歷史、IP 地址、持久性 Cookie 標識符及唯一瀏覽器標識符等信息。 Google 曾辯稱用戶在接受隱私政策時已同意這些收集行為，並得到了初審法官的支持。
然而，上訴法院認為，原審法官未充分考慮用戶是否真正理解該協議，並指出 Google 的隱私聲明不夠明確，並曾暗示用戶關閉同步後資料不會被傳送到 Google。因此，案件將重新送回下級法院審理。</v>
      </c>
      <c r="P384" s="1"/>
      <c r="Q384" s="1"/>
      <c r="R384" s="1"/>
      <c r="S384" s="1"/>
      <c r="T384" s="1"/>
      <c r="U384" s="1"/>
      <c r="V384" s="1"/>
      <c r="W384" s="1"/>
      <c r="X384" s="1"/>
      <c r="Y384" s="1"/>
      <c r="Z384" s="1"/>
      <c r="AA384" s="1"/>
      <c r="AB384" s="1"/>
    </row>
    <row r="385" hidden="1" outlineLevel="1">
      <c r="A385" s="1" t="s">
        <v>782</v>
      </c>
      <c r="B385" s="1" t="s">
        <v>1089</v>
      </c>
      <c r="C385" s="1" t="s">
        <v>1301</v>
      </c>
      <c r="D385" s="1" t="s">
        <v>1306</v>
      </c>
      <c r="E385" s="27">
        <v>45526.0</v>
      </c>
      <c r="F385" s="1" t="s">
        <v>1307</v>
      </c>
      <c r="G385" s="7" t="s">
        <v>1308</v>
      </c>
      <c r="H385" s="16"/>
      <c r="I385" s="4" t="s">
        <v>1305</v>
      </c>
      <c r="J385" s="4" t="b">
        <v>0</v>
      </c>
      <c r="K385" s="4" t="b">
        <v>0</v>
      </c>
      <c r="L385" s="1"/>
      <c r="M385" s="6"/>
      <c r="N385" s="1"/>
      <c r="O385" s="1" t="str">
        <f>IFERROR(__xludf.DUMMYFUNCTION("GOOGLETRANSLATE(F385,""zh-CN"",""zh-TW"") "),"Google 的銷售代表被指控向廣告客戶提供建議，讓他們透過「未知用戶」類別來鎖定青少年受眾，儘管 Google 宣稱禁止向 18 歲以下的用戶投放基於年齡、性別或興趣的廣告。
Google 將對內部員工進行進一步教育，確保不會幫助廣告客戶規避政策。這一行為可能引發對《兒童線上隱私保護法》（COPPA）的關注，該法案禁止未經父母同意收集 13 歲以下兒童的個人資訊。
此外，新的法案版本已通過參議院，若在眾議院通過，將禁止對 17 歲以下的青少年進行定向廣告投放。")</f>
        <v>Google 的銷售代表被指控向廣告客戶提供建議，讓他們透過「未知用戶」類別來鎖定青少年受眾，儘管 Google 宣稱禁止向 18 歲以下的用戶投放基於年齡、性別或興趣的廣告。
Google 將對內部員工進行進一步教育，確保不會幫助廣告客戶規避政策。這一行為可能引發對《兒童線上隱私保護法》（COPPA）的關注，該法案禁止未經父母同意收集 13 歲以下兒童的個人資訊。
此外，新的法案版本已通過參議院，若在眾議院通過，將禁止對 17 歲以下的青少年進行定向廣告投放。</v>
      </c>
      <c r="P385" s="1"/>
      <c r="Q385" s="1"/>
      <c r="R385" s="1"/>
      <c r="S385" s="1"/>
      <c r="T385" s="1"/>
      <c r="U385" s="1"/>
      <c r="V385" s="1"/>
      <c r="W385" s="1"/>
      <c r="X385" s="1"/>
      <c r="Y385" s="1"/>
      <c r="Z385" s="1"/>
      <c r="AA385" s="1"/>
      <c r="AB385" s="1"/>
    </row>
    <row r="386" hidden="1" outlineLevel="1">
      <c r="A386" s="1" t="s">
        <v>519</v>
      </c>
      <c r="B386" s="1" t="s">
        <v>1309</v>
      </c>
      <c r="C386" s="1" t="s">
        <v>1301</v>
      </c>
      <c r="D386" s="1" t="s">
        <v>1310</v>
      </c>
      <c r="E386" s="27">
        <v>45483.0</v>
      </c>
      <c r="F386" s="1" t="s">
        <v>1311</v>
      </c>
      <c r="G386" s="7" t="s">
        <v>1312</v>
      </c>
      <c r="H386" s="16"/>
      <c r="I386" s="4" t="s">
        <v>1305</v>
      </c>
      <c r="J386" s="4" t="b">
        <v>0</v>
      </c>
      <c r="K386" s="4" t="b">
        <v>0</v>
      </c>
      <c r="L386" s="1"/>
      <c r="M386" s="6"/>
      <c r="N386" s="1"/>
      <c r="O386" s="1" t="str">
        <f>IFERROR(__xludf.DUMMYFUNCTION("GOOGLETRANSLATE(F386,""zh-CN"",""zh-TW"") "),"加州法院最近駁回了一個針對GitHub、微軟和OpenAI的大部分訴訟。該訴訟由一群開發者於2022年提出，指控這些公司違反版權法，允許AI輔助程式開發工具GitHub Copilot以開發者的程式碼進行訓練。這次判決只保留了兩項指控：一是關於開源授權條款的違規，另一個是關於合約違約的指控。
原訴訟提出了22項指控，包括GitHub Copilot違反《數字千禧年著作權法》（DMCA），未經授權提供代碼建議。然而，法官Jon Tigar認為這些指控的代碼與原始程式碼不夠相似，不足以構成侵權。訴訟還提到Gi"&amp;"tHub的filter功能，該功能可以檢測並抑制與公開代碼相符的建議，但開發者質疑這個功能是否真的有效。法官駁回了這些指控，並禁止重新提起相關訴訟。
雖然大部分訴訟被駁回，但有關合約違約和開源授權違規的部分仍將繼續進行訴訟。")</f>
        <v>加州法院最近駁回了一個針對GitHub、微軟和OpenAI的大部分訴訟。該訴訟由一群開發者於2022年提出，指控這些公司違反版權法，允許AI輔助程式開發工具GitHub Copilot以開發者的程式碼進行訓練。這次判決只保留了兩項指控：一是關於開源授權條款的違規，另一個是關於合約違約的指控。
原訴訟提出了22項指控，包括GitHub Copilot違反《數字千禧年著作權法》（DMCA），未經授權提供代碼建議。然而，法官Jon Tigar認為這些指控的代碼與原始程式碼不夠相似，不足以構成侵權。訴訟還提到GitHub的filter功能，該功能可以檢測並抑制與公開代碼相符的建議，但開發者質疑這個功能是否真的有效。法官駁回了這些指控，並禁止重新提起相關訴訟。
雖然大部分訴訟被駁回，但有關合約違約和開源授權違規的部分仍將繼續進行訴訟。</v>
      </c>
      <c r="P386" s="1"/>
      <c r="Q386" s="1"/>
      <c r="R386" s="1"/>
      <c r="S386" s="1"/>
      <c r="T386" s="1"/>
      <c r="U386" s="1"/>
      <c r="V386" s="1"/>
      <c r="W386" s="1"/>
      <c r="X386" s="1"/>
      <c r="Y386" s="1"/>
      <c r="Z386" s="1"/>
      <c r="AA386" s="1"/>
      <c r="AB386" s="1"/>
    </row>
    <row r="387" hidden="1" outlineLevel="1">
      <c r="A387" s="1" t="s">
        <v>1313</v>
      </c>
      <c r="B387" s="1" t="s">
        <v>1089</v>
      </c>
      <c r="C387" s="1" t="s">
        <v>1301</v>
      </c>
      <c r="D387" s="1" t="s">
        <v>1314</v>
      </c>
      <c r="E387" s="27">
        <v>45532.0</v>
      </c>
      <c r="F387" s="1" t="s">
        <v>1315</v>
      </c>
      <c r="G387" s="7" t="s">
        <v>1316</v>
      </c>
      <c r="H387" s="16"/>
      <c r="I387" s="4" t="s">
        <v>1305</v>
      </c>
      <c r="J387" s="4" t="b">
        <v>0</v>
      </c>
      <c r="K387" s="4" t="b">
        <v>0</v>
      </c>
      <c r="L387" s="1"/>
      <c r="M387" s="6"/>
      <c r="N387" s="1"/>
      <c r="O387" s="1" t="str">
        <f>IFERROR(__xludf.DUMMYFUNCTION("GOOGLETRANSLATE(F387,""zh-CN"",""zh-TW"") "),"Meta執行長馬克·祖克柏在8月28日給共和黨領導的眾議院司法委員會的信中表示，拜登政府在2021年多次施壓，要求他的團隊「審查」與新冠疫情有關的內容。扎克柏承認，當時應該更強烈反對這種做法，並表示未來若再發生類似情況，Meta將堅決抵抗。他也提到不會再像2020年那樣捐款支持地方選舉基礎建設，以避免在政治上被視為不中立。
信中也提到，拜登政府曾在疫情期間要求社群平台修改演算法，以防止錯誤訊息的擴散。扎克柏對於Meta當時下架或限制特定內容表示後悔，認為有些決策若換在今天，他們不會做出同樣的選擇。")</f>
        <v>Meta執行長馬克·祖克柏在8月28日給共和黨領導的眾議院司法委員會的信中表示，拜登政府在2021年多次施壓，要求他的團隊「審查」與新冠疫情有關的內容。扎克柏承認，當時應該更強烈反對這種做法，並表示未來若再發生類似情況，Meta將堅決抵抗。他也提到不會再像2020年那樣捐款支持地方選舉基礎建設，以避免在政治上被視為不中立。
信中也提到，拜登政府曾在疫情期間要求社群平台修改演算法，以防止錯誤訊息的擴散。扎克柏對於Meta當時下架或限制特定內容表示後悔，認為有些決策若換在今天，他們不會做出同樣的選擇。</v>
      </c>
      <c r="P387" s="1"/>
      <c r="Q387" s="1"/>
      <c r="R387" s="1"/>
      <c r="S387" s="1"/>
      <c r="T387" s="1"/>
      <c r="U387" s="1"/>
      <c r="V387" s="1"/>
      <c r="W387" s="1"/>
      <c r="X387" s="1"/>
      <c r="Y387" s="1"/>
      <c r="Z387" s="1"/>
      <c r="AA387" s="1"/>
      <c r="AB387" s="1"/>
    </row>
    <row r="388" hidden="1" outlineLevel="1">
      <c r="A388" s="1" t="s">
        <v>782</v>
      </c>
      <c r="B388" s="1" t="s">
        <v>1089</v>
      </c>
      <c r="C388" s="61" t="s">
        <v>1301</v>
      </c>
      <c r="D388" s="1" t="s">
        <v>1317</v>
      </c>
      <c r="E388" s="27">
        <v>45539.0</v>
      </c>
      <c r="F388" s="1" t="s">
        <v>1318</v>
      </c>
      <c r="G388" s="7" t="s">
        <v>1319</v>
      </c>
      <c r="H388" s="16"/>
      <c r="I388" s="4" t="s">
        <v>1305</v>
      </c>
      <c r="J388" s="4" t="b">
        <v>0</v>
      </c>
      <c r="K388" s="4" t="b">
        <v>0</v>
      </c>
      <c r="L388" s="1"/>
      <c r="M388" s="6"/>
      <c r="N388" s="1"/>
      <c r="O388" s="1" t="str">
        <f>IFERROR(__xludf.DUMMYFUNCTION("GOOGLETRANSLATE(F388,""zh-CN"",""zh-TW"") "),"荷蘭管理機構對Clearview AI處以3,370萬美元的罰款，並威脅負責人承擔個人責任。
Clearview AI是一家美國人臉辨識公司，透過從社群媒體平台收集影像來建立資料庫，因涉嫌侵犯隱私問題在全球多地受到監管機構的指控。荷蘭資料保護局（Dutch DPA）對Clearview處以3,050萬歐元（約3,370萬美元）的罰款，指控其非法包含「唯一生物識別代碼」的資料庫，並且未向受影響的人提供充分的信息。該公司在調查期間未改善其行為，可能面臨額外510萬歐元的罰款。
由於Clearview未改變"&amp;"其行為，荷蘭資訊保護局正在考慮是否讓公司的管理階層負上個人責任。如果這些負責人明知GDPR違規行為，卻未加以阻止，他們可能面臨法律追責。 Clearview無法對此罰款提出上訴，但該公司聲稱這一決定無效，理由是它在荷蘭或歐盟無業務據點或客戶，也未進行受GDPR約束的活動。")</f>
        <v>荷蘭管理機構對Clearview AI處以3,370萬美元的罰款，並威脅負責人承擔個人責任。
Clearview AI是一家美國人臉辨識公司，透過從社群媒體平台收集影像來建立資料庫，因涉嫌侵犯隱私問題在全球多地受到監管機構的指控。荷蘭資料保護局（Dutch DPA）對Clearview處以3,050萬歐元（約3,370萬美元）的罰款，指控其非法包含「唯一生物識別代碼」的資料庫，並且未向受影響的人提供充分的信息。該公司在調查期間未改善其行為，可能面臨額外510萬歐元的罰款。
由於Clearview未改變其行為，荷蘭資訊保護局正在考慮是否讓公司的管理階層負上個人責任。如果這些負責人明知GDPR違規行為，卻未加以阻止，他們可能面臨法律追責。 Clearview無法對此罰款提出上訴，但該公司聲稱這一決定無效，理由是它在荷蘭或歐盟無業務據點或客戶，也未進行受GDPR約束的活動。</v>
      </c>
      <c r="P388" s="1"/>
      <c r="Q388" s="1"/>
      <c r="R388" s="1"/>
      <c r="S388" s="1"/>
      <c r="T388" s="1"/>
      <c r="U388" s="1"/>
      <c r="V388" s="1"/>
      <c r="W388" s="1"/>
      <c r="X388" s="1"/>
      <c r="Y388" s="1"/>
      <c r="Z388" s="1"/>
      <c r="AA388" s="1"/>
      <c r="AB388" s="1"/>
    </row>
    <row r="389" hidden="1" outlineLevel="1">
      <c r="A389" s="1" t="s">
        <v>1320</v>
      </c>
      <c r="B389" s="1" t="s">
        <v>708</v>
      </c>
      <c r="C389" s="74" t="s">
        <v>1321</v>
      </c>
      <c r="D389" s="1" t="s">
        <v>1322</v>
      </c>
      <c r="E389" s="27">
        <v>45499.0</v>
      </c>
      <c r="F389" s="1" t="s">
        <v>1323</v>
      </c>
      <c r="G389" s="7" t="s">
        <v>1324</v>
      </c>
      <c r="H389" s="16"/>
      <c r="I389" s="4" t="s">
        <v>1286</v>
      </c>
      <c r="J389" s="4" t="b">
        <v>0</v>
      </c>
      <c r="K389" s="4" t="b">
        <v>0</v>
      </c>
      <c r="L389" s="1"/>
      <c r="M389" s="6"/>
      <c r="N389" s="1"/>
      <c r="O389" s="1" t="str">
        <f>IFERROR(__xludf.DUMMYFUNCTION("GOOGLETRANSLATE(F389,""zh-CN"",""zh-TW"") "),"歐盟已針對愛爾蘭未執行《資料治理法案》提起侵權訴訟，該法案是一項 2022 年法律，旨在加強跨部門和歐盟國家之間的資料共享，以使公民和企業受益。
愛爾蘭不僅將自己定位為歐洲科技產業的發源地，企業也不羞於宣布更多利用資料的計畫。但該國未能提名一個所謂的「主管當局」，即有權監督該法案的遵守情況並將其轉化為國家立法的機構。")</f>
        <v>歐盟已針對愛爾蘭未執行《資料治理法案》提起侵權訴訟，該法案是一項 2022 年法律，旨在加強跨部門和歐盟國家之間的資料共享，以使公民和企業受益。
愛爾蘭不僅將自己定位為歐洲科技產業的發源地，企業也不羞於宣布更多利用資料的計畫。但該國未能提名一個所謂的「主管當局」，即有權監督該法案的遵守情況並將其轉化為國家立法的機構。</v>
      </c>
      <c r="P389" s="1"/>
      <c r="Q389" s="1"/>
      <c r="R389" s="1"/>
      <c r="S389" s="1"/>
      <c r="T389" s="1"/>
      <c r="U389" s="1"/>
      <c r="V389" s="1"/>
      <c r="W389" s="1"/>
      <c r="X389" s="1"/>
      <c r="Y389" s="1"/>
      <c r="Z389" s="1"/>
      <c r="AA389" s="1"/>
      <c r="AB389" s="1"/>
    </row>
    <row r="390" hidden="1" outlineLevel="1">
      <c r="A390" s="1" t="s">
        <v>574</v>
      </c>
      <c r="B390" s="1" t="s">
        <v>708</v>
      </c>
      <c r="C390" s="1" t="s">
        <v>1325</v>
      </c>
      <c r="D390" s="1" t="s">
        <v>1326</v>
      </c>
      <c r="E390" s="27">
        <v>45497.0</v>
      </c>
      <c r="F390" s="1" t="s">
        <v>1327</v>
      </c>
      <c r="G390" s="7" t="s">
        <v>1328</v>
      </c>
      <c r="H390" s="9" t="s">
        <v>1329</v>
      </c>
      <c r="I390" s="4" t="s">
        <v>1286</v>
      </c>
      <c r="J390" s="4" t="b">
        <v>0</v>
      </c>
      <c r="K390" s="4" t="b">
        <v>0</v>
      </c>
      <c r="L390" s="1"/>
      <c r="M390" s="6"/>
      <c r="N390" s="1" t="s">
        <v>1330</v>
      </c>
      <c r="O390" s="1" t="str">
        <f>IFERROR(__xludf.DUMMYFUNCTION("GOOGLETRANSLATE(F390,""zh-CN"",""zh-TW"") "),"2024年，歐盟持續加強在 TMT (科技、媒體與通訊)領域的活動力度。新的法規和提案將對 TMT 產業及其他領域的公司產生重大影響，促進各利益相關者之間的問責和合作。 Dentons 律師事務所出版手冊，整理 36 項歐盟法規與摘要，法規涵蓋：
-隱私和網路安全到廣告和媒體
-消費者保護和電子商務到加密貨幣和稅收規則
-電信和聯網設備到人工智能係統和相關責任")</f>
        <v>2024年，歐盟持續加強在 TMT (科技、媒體與通訊)領域的活動力度。新的法規和提案將對 TMT 產業及其他領域的公司產生重大影響，促進各利益相關者之間的問責和合作。 Dentons 律師事務所出版手冊，整理 36 項歐盟法規與摘要，法規涵蓋：
-隱私和網路安全到廣告和媒體
-消費者保護和電子商務到加密貨幣和稅收規則
-電信和聯網設備到人工智能係統和相關責任</v>
      </c>
      <c r="P390" s="1"/>
      <c r="Q390" s="1"/>
      <c r="R390" s="1"/>
      <c r="S390" s="1"/>
      <c r="T390" s="1"/>
      <c r="U390" s="1"/>
      <c r="V390" s="1"/>
      <c r="W390" s="1"/>
      <c r="X390" s="1"/>
      <c r="Y390" s="1"/>
      <c r="Z390" s="1"/>
      <c r="AA390" s="1"/>
      <c r="AB390" s="1"/>
    </row>
    <row r="391" hidden="1" outlineLevel="1">
      <c r="A391" s="1" t="s">
        <v>519</v>
      </c>
      <c r="B391" s="1" t="s">
        <v>809</v>
      </c>
      <c r="C391" s="7" t="s">
        <v>1331</v>
      </c>
      <c r="D391" s="1" t="s">
        <v>1332</v>
      </c>
      <c r="E391" s="27">
        <v>45489.0</v>
      </c>
      <c r="F391" s="17" t="s">
        <v>1333</v>
      </c>
      <c r="G391" s="7" t="s">
        <v>1334</v>
      </c>
      <c r="H391" s="16"/>
      <c r="I391" s="4" t="s">
        <v>1280</v>
      </c>
      <c r="J391" s="4" t="b">
        <v>1</v>
      </c>
      <c r="K391" s="4" t="b">
        <v>0</v>
      </c>
      <c r="L391" s="1"/>
      <c r="M391" s="6"/>
      <c r="N391" s="1"/>
      <c r="O391" s="1" t="str">
        <f>IFERROR(__xludf.DUMMYFUNCTION("GOOGLETRANSLATE(F391,""zh-CN"",""zh-TW"") "),"作者參加聯合國 OSPO 會議，幾個有趣的觀察：
- 備受期待的人工智能部分是會議的羅夏墨跡測試。每個人都看到了不同的東西，這反映了該技術仍在形成的形態。
- Thigo 在開幕主題演講中展示了開源對於他的祖國肯尼亞的行動貨幣革命至關重要。如果以不同的方式開發，這種突破性的創新可能會被私有化，並且無法被那些最需要它的人所利用。
- 開源永續的解決方案是什麼？像對待任何其他基礎設施一樣對待開源軟件，並製定維護計劃。")</f>
        <v>作者參加聯合國 OSPO 會議，幾個有趣的觀察：
- 備受期待的人工智能部分是會議的羅夏墨跡測試。每個人都看到了不同的東西，這反映了該技術仍在形成的形態。
- Thigo 在開幕主題演講中展示了開源對於他的祖國肯尼亞的行動貨幣革命至關重要。如果以不同的方式開發，這種突破性的創新可能會被私有化，並且無法被那些最需要它的人所利用。
- 開源永續的解決方案是什麼？像對待任何其他基礎設施一樣對待開源軟件，並製定維護計劃。</v>
      </c>
      <c r="P391" s="1"/>
      <c r="Q391" s="1"/>
      <c r="R391" s="1"/>
      <c r="S391" s="1"/>
      <c r="T391" s="1"/>
      <c r="U391" s="1"/>
      <c r="V391" s="1"/>
      <c r="W391" s="1"/>
      <c r="X391" s="1"/>
      <c r="Y391" s="1"/>
      <c r="Z391" s="1"/>
      <c r="AA391" s="1"/>
      <c r="AB391" s="1"/>
    </row>
    <row r="392" hidden="1" outlineLevel="1">
      <c r="A392" s="1" t="s">
        <v>507</v>
      </c>
      <c r="B392" s="1" t="s">
        <v>680</v>
      </c>
      <c r="C392" s="1" t="s">
        <v>1335</v>
      </c>
      <c r="D392" s="1" t="s">
        <v>1336</v>
      </c>
      <c r="E392" s="27">
        <v>45496.0</v>
      </c>
      <c r="F392" s="17" t="s">
        <v>1337</v>
      </c>
      <c r="G392" s="7" t="s">
        <v>1338</v>
      </c>
      <c r="H392" s="16"/>
      <c r="I392" s="4" t="s">
        <v>1286</v>
      </c>
      <c r="J392" s="4" t="b">
        <v>1</v>
      </c>
      <c r="K392" s="4" t="b">
        <v>0</v>
      </c>
      <c r="L392" s="1"/>
      <c r="M392" s="6"/>
      <c r="N392" s="1"/>
      <c r="O392" s="1" t="str">
        <f>IFERROR(__xludf.DUMMYFUNCTION("GOOGLETRANSLATE(F392,""zh-CN"",""zh-TW"") "),"人工智慧訓練可能會破壞開放網路(Open Web)，Mozilla 基金會的研究團隊 Data Provenance Initiative (DPI) 思索解決方案。
開放資料存取 vs 資料使用同意之間經常存在緊張關係。
新聞、文章、評論網站、社群媒體等優質、新鮮的資料來源，正對 AI 展開限制，必然使得 AI 資料來源偏差，並可能使 AI 模型用來訓練的素材來源，超越公眾可監督的層面。
DPI 希望促進政策制定者和人工智能開發人員共同努力開發新的協議和基礎設施，使數據採購有效且合乎道德地進行。")</f>
        <v>人工智慧訓練可能會破壞開放網路(Open Web)，Mozilla 基金會的研究團隊 Data Provenance Initiative (DPI) 思索解決方案。
開放資料存取 vs 資料使用同意之間經常存在緊張關係。
新聞、文章、評論網站、社群媒體等優質、新鮮的資料來源，正對 AI 展開限制，必然使得 AI 資料來源偏差，並可能使 AI 模型用來訓練的素材來源，超越公眾可監督的層面。
DPI 希望促進政策制定者和人工智能開發人員共同努力開發新的協議和基礎設施，使數據採購有效且合乎道德地進行。</v>
      </c>
      <c r="P392" s="1"/>
      <c r="Q392" s="1"/>
      <c r="R392" s="1"/>
      <c r="S392" s="1"/>
      <c r="T392" s="1"/>
      <c r="U392" s="1"/>
      <c r="V392" s="1"/>
      <c r="W392" s="1"/>
      <c r="X392" s="1"/>
      <c r="Y392" s="1"/>
      <c r="Z392" s="1"/>
      <c r="AA392" s="1"/>
      <c r="AB392" s="1"/>
    </row>
    <row r="393" hidden="1" outlineLevel="1">
      <c r="A393" s="1" t="s">
        <v>519</v>
      </c>
      <c r="B393" s="1" t="s">
        <v>1089</v>
      </c>
      <c r="C393" s="1" t="s">
        <v>1339</v>
      </c>
      <c r="D393" s="1" t="s">
        <v>1340</v>
      </c>
      <c r="E393" s="27">
        <v>45489.0</v>
      </c>
      <c r="F393" s="1" t="s">
        <v>1341</v>
      </c>
      <c r="G393" s="7" t="s">
        <v>1342</v>
      </c>
      <c r="H393" s="16"/>
      <c r="I393" s="4" t="s">
        <v>1280</v>
      </c>
      <c r="J393" s="4" t="b">
        <v>0</v>
      </c>
      <c r="K393" s="4" t="b">
        <v>0</v>
      </c>
      <c r="L393" s="1"/>
      <c r="M393" s="6"/>
      <c r="N393" s="1"/>
      <c r="O393" s="1" t="str">
        <f>IFERROR(__xludf.DUMMYFUNCTION("GOOGLETRANSLATE(F393,""zh-CN"",""zh-TW"") "),"HuggningFace 專訪
Hugging Face 是一家以社群為中心的公司。近年來使用量快速成長，並實現收入。其對社群的支援案例：
- 優先考慮盡可能多地關注社區成員和合作者。
- 向社群成員/社群提供計算和不附加任何條件的現金補助
- 協助維護其他團隊的開源程式庫，並與其他工具密切合作")</f>
        <v>HuggningFace 專訪
Hugging Face 是一家以社群為中心的公司。近年來使用量快速成長，並實現收入。其對社群的支援案例：
- 優先考慮盡可能多地關注社區成員和合作者。
- 向社群成員/社群提供計算和不附加任何條件的現金補助
- 協助維護其他團隊的開源程式庫，並與其他工具密切合作</v>
      </c>
      <c r="P393" s="1"/>
      <c r="Q393" s="1"/>
      <c r="R393" s="1"/>
      <c r="S393" s="1"/>
      <c r="T393" s="1"/>
      <c r="U393" s="1"/>
      <c r="V393" s="1"/>
      <c r="W393" s="1"/>
      <c r="X393" s="1"/>
      <c r="Y393" s="1"/>
      <c r="Z393" s="1"/>
      <c r="AA393" s="1"/>
      <c r="AB393" s="1"/>
    </row>
    <row r="394" hidden="1" outlineLevel="1">
      <c r="A394" s="1" t="s">
        <v>507</v>
      </c>
      <c r="B394" s="1" t="s">
        <v>1089</v>
      </c>
      <c r="C394" s="1" t="s">
        <v>1343</v>
      </c>
      <c r="D394" s="1" t="s">
        <v>1344</v>
      </c>
      <c r="E394" s="27">
        <v>45489.0</v>
      </c>
      <c r="F394" s="1" t="s">
        <v>1345</v>
      </c>
      <c r="G394" s="7" t="s">
        <v>1346</v>
      </c>
      <c r="H394" s="16"/>
      <c r="I394" s="4" t="s">
        <v>1280</v>
      </c>
      <c r="J394" s="4" t="b">
        <v>0</v>
      </c>
      <c r="K394" s="4" t="b">
        <v>0</v>
      </c>
      <c r="L394" s="1"/>
      <c r="M394" s="6"/>
      <c r="N394" s="1" t="s">
        <v>1347</v>
      </c>
      <c r="O394" s="1" t="str">
        <f>IFERROR(__xludf.DUMMYFUNCTION("GOOGLETRANSLATE(F394,""zh-CN"",""zh-TW"") "),"烹飪香料的開放資料庫。")</f>
        <v>烹飪香料的開放資料庫。</v>
      </c>
      <c r="P394" s="1"/>
      <c r="Q394" s="1"/>
      <c r="R394" s="1"/>
      <c r="S394" s="1"/>
      <c r="T394" s="1"/>
      <c r="U394" s="1"/>
      <c r="V394" s="1"/>
      <c r="W394" s="1"/>
      <c r="X394" s="1"/>
      <c r="Y394" s="1"/>
      <c r="Z394" s="1"/>
      <c r="AA394" s="1"/>
      <c r="AB394" s="1"/>
    </row>
    <row r="395" hidden="1" outlineLevel="1">
      <c r="A395" s="1" t="s">
        <v>507</v>
      </c>
      <c r="B395" s="1" t="s">
        <v>520</v>
      </c>
      <c r="C395" s="1" t="s">
        <v>1348</v>
      </c>
      <c r="D395" s="1" t="s">
        <v>1349</v>
      </c>
      <c r="E395" s="58">
        <v>45502.0</v>
      </c>
      <c r="F395" s="1" t="s">
        <v>1350</v>
      </c>
      <c r="G395" s="7" t="s">
        <v>1351</v>
      </c>
      <c r="H395" s="16"/>
      <c r="I395" s="4" t="s">
        <v>1286</v>
      </c>
      <c r="J395" s="4" t="b">
        <v>0</v>
      </c>
      <c r="K395" s="4" t="b">
        <v>0</v>
      </c>
      <c r="L395" s="1"/>
      <c r="M395" s="6"/>
      <c r="N395" s="1"/>
      <c r="O395" s="1" t="str">
        <f>IFERROR(__xludf.DUMMYFUNCTION("GOOGLETRANSLATE(F395,""zh-CN"",""zh-TW"") "),"Mozilla Common Voice 的最新目標：使用語音工具來理解自然對話和休閒語音
Common Voice 致力於收集世界各地人們的語音資料，為軟件開發人員提供工具，幫助語音系統更好地識別每個人。資料收錄進開源資料庫之前都會透過刪除個人資訊來進行匿名處理。
自發性的演講請求比準備好的演講更加開放。 “我們將為人們提供提示而不是句子，他們會做出回應。”例如，準備好的語音提示可以說“這個週末我要去海灘”，而自發的語音提示可以問“這個週末你有什麼計劃？”
語言是有生命的，而且每天都在改變。保持此"&amp;"類數據開源可以讓研究人員繼續跟上。")</f>
        <v>Mozilla Common Voice 的最新目標：使用語音工具來理解自然對話和休閒語音
Common Voice 致力於收集世界各地人們的語音資料，為軟件開發人員提供工具，幫助語音系統更好地識別每個人。資料收錄進開源資料庫之前都會透過刪除個人資訊來進行匿名處理。
自發性的演講請求比準備好的演講更加開放。 “我們將為人們提供提示而不是句子，他們會做出回應。”例如，準備好的語音提示可以說“這個週末我要去海灘”，而自發的語音提示可以問“這個週末你有什麼計劃？”
語言是有生命的，而且每天都在改變。保持此類數據開源可以讓研究人員繼續跟上。</v>
      </c>
      <c r="P395" s="1"/>
      <c r="Q395" s="1"/>
      <c r="R395" s="1"/>
      <c r="S395" s="1"/>
      <c r="T395" s="1"/>
      <c r="U395" s="1"/>
      <c r="V395" s="1"/>
      <c r="W395" s="1"/>
      <c r="X395" s="1"/>
      <c r="Y395" s="1"/>
      <c r="Z395" s="1"/>
      <c r="AA395" s="1"/>
      <c r="AB395" s="1"/>
    </row>
    <row r="396" hidden="1" outlineLevel="1">
      <c r="A396" s="1" t="s">
        <v>519</v>
      </c>
      <c r="B396" s="1" t="s">
        <v>1089</v>
      </c>
      <c r="C396" s="7" t="s">
        <v>1352</v>
      </c>
      <c r="D396" s="1" t="s">
        <v>1353</v>
      </c>
      <c r="E396" s="58">
        <v>45496.0</v>
      </c>
      <c r="F396" s="17" t="s">
        <v>1354</v>
      </c>
      <c r="G396" s="7" t="s">
        <v>1355</v>
      </c>
      <c r="H396" s="16"/>
      <c r="I396" s="4" t="s">
        <v>1280</v>
      </c>
      <c r="J396" s="4" t="b">
        <v>1</v>
      </c>
      <c r="K396" s="4" t="b">
        <v>0</v>
      </c>
      <c r="L396" s="1"/>
      <c r="M396" s="6"/>
      <c r="N396" s="1"/>
      <c r="O396" s="1" t="str">
        <f>IFERROR(__xludf.DUMMYFUNCTION("GOOGLETRANSLATE(F396,""zh-CN"",""zh-TW"") "),"歐洲的網絡韌性法案（CRA）要求數字產品遵循嚴格的安全標準，這對開源社群構成挑戰。如：①CRA影響將影響開源授權中的責任條款（免責條款）。 ②開源專家與監管者缺乏溝通，強調合作的重要性。 ③現有標準組織（像歐洲的 EC）對開源缺乏專業知識，需進行改進。 ④呼籲改善開源社群在歐盟政策中的參與。 ⑤探索小型企業解決方案 CRA 合規的管理服務，以降低成本。")</f>
        <v>歐洲的網絡韌性法案（CRA）要求數字產品遵循嚴格的安全標準，這對開源社群構成挑戰。如：①CRA影響將影響開源授權中的責任條款（免責條款）。 ②開源專家與監管者缺乏溝通，強調合作的重要性。 ③現有標準組織（像歐洲的 EC）對開源缺乏專業知識，需進行改進。 ④呼籲改善開源社群在歐盟政策中的參與。 ⑤探索小型企業解決方案 CRA 合規的管理服務，以降低成本。</v>
      </c>
      <c r="P396" s="1"/>
      <c r="Q396" s="1"/>
      <c r="R396" s="1"/>
      <c r="S396" s="1"/>
      <c r="T396" s="1"/>
      <c r="U396" s="1"/>
      <c r="V396" s="1"/>
      <c r="W396" s="1"/>
      <c r="X396" s="1"/>
      <c r="Y396" s="1"/>
      <c r="Z396" s="1"/>
      <c r="AA396" s="1"/>
      <c r="AB396" s="1"/>
    </row>
    <row r="397" collapsed="1">
      <c r="A397" s="1"/>
      <c r="B397" s="1"/>
      <c r="C397" s="1"/>
      <c r="D397" s="1"/>
      <c r="E397" s="28" t="s">
        <v>1356</v>
      </c>
      <c r="F397" s="1"/>
      <c r="G397" s="5"/>
      <c r="H397" s="16"/>
      <c r="I397" s="4"/>
      <c r="J397" s="4" t="b">
        <v>0</v>
      </c>
      <c r="K397" s="4" t="b">
        <v>0</v>
      </c>
      <c r="L397" s="1"/>
      <c r="M397" s="6"/>
      <c r="N397" s="1"/>
      <c r="O397" s="1" t="str">
        <f>IFERROR(__xludf.DUMMYFUNCTION("GOOGLETRANSLATE(F397,""zh-CN"",""zh-TW"") "),"#VALUE!")</f>
        <v>#VALUE!</v>
      </c>
      <c r="P397" s="1"/>
      <c r="Q397" s="1"/>
      <c r="R397" s="1"/>
      <c r="S397" s="1"/>
      <c r="T397" s="1"/>
      <c r="U397" s="1"/>
      <c r="V397" s="1"/>
      <c r="W397" s="1"/>
      <c r="X397" s="1"/>
      <c r="Y397" s="1"/>
      <c r="Z397" s="1"/>
      <c r="AA397" s="1"/>
      <c r="AB397" s="1"/>
    </row>
    <row r="398" hidden="1" outlineLevel="1">
      <c r="A398" s="1" t="s">
        <v>519</v>
      </c>
      <c r="B398" s="1" t="s">
        <v>809</v>
      </c>
      <c r="C398" s="1" t="s">
        <v>1179</v>
      </c>
      <c r="D398" s="1" t="s">
        <v>1357</v>
      </c>
      <c r="E398" s="27">
        <v>45485.0</v>
      </c>
      <c r="F398" s="1" t="s">
        <v>1358</v>
      </c>
      <c r="G398" s="7" t="s">
        <v>1359</v>
      </c>
      <c r="H398" s="16"/>
      <c r="I398" s="4" t="s">
        <v>1280</v>
      </c>
      <c r="J398" s="4" t="b">
        <v>0</v>
      </c>
      <c r="K398" s="4" t="b">
        <v>0</v>
      </c>
      <c r="L398" s="1" t="s">
        <v>1360</v>
      </c>
      <c r="M398" s="6"/>
      <c r="N398" s="1" t="s">
        <v>1361</v>
      </c>
      <c r="O398" s="1" t="str">
        <f>IFERROR(__xludf.DUMMYFUNCTION("GOOGLETRANSLATE(F398,""zh-CN"",""zh-TW"") "),"我所知道 89 件關於 Git 提交的事情
作者以列點的方式，列出 89 點有關 Git（版本控制）有關的事，可以供新手快速理解 Git 概念")</f>
        <v>我所知道 89 件關於 Git 提交的事情
作者以列點的方式，列出 89 點有關 Git（版本控制）有關的事，可以供新手快速理解 Git 概念</v>
      </c>
      <c r="P398" s="1"/>
      <c r="Q398" s="1"/>
      <c r="R398" s="1"/>
      <c r="S398" s="1"/>
      <c r="T398" s="1"/>
      <c r="U398" s="1"/>
      <c r="V398" s="1"/>
      <c r="W398" s="1"/>
      <c r="X398" s="1"/>
      <c r="Y398" s="1"/>
      <c r="Z398" s="1"/>
      <c r="AA398" s="1"/>
      <c r="AB398" s="1"/>
    </row>
    <row r="399" hidden="1" outlineLevel="1">
      <c r="A399" s="1" t="s">
        <v>519</v>
      </c>
      <c r="B399" s="1" t="s">
        <v>1089</v>
      </c>
      <c r="C399" s="1" t="s">
        <v>1362</v>
      </c>
      <c r="D399" s="1" t="s">
        <v>1363</v>
      </c>
      <c r="E399" s="27">
        <v>45489.0</v>
      </c>
      <c r="F399" s="1" t="s">
        <v>1364</v>
      </c>
      <c r="G399" s="7" t="s">
        <v>1365</v>
      </c>
      <c r="H399" s="16"/>
      <c r="I399" s="4" t="s">
        <v>1280</v>
      </c>
      <c r="J399" s="4" t="b">
        <v>0</v>
      </c>
      <c r="K399" s="4" t="b">
        <v>0</v>
      </c>
      <c r="L399" s="1" t="s">
        <v>1366</v>
      </c>
      <c r="M399" s="6"/>
      <c r="N399" s="1" t="s">
        <v>1367</v>
      </c>
      <c r="O399" s="1" t="str">
        <f>IFERROR(__xludf.DUMMYFUNCTION("GOOGLETRANSLATE(F399,""zh-CN"",""zh-TW"") "),"假AWS檔案中隱藏的後門未獲主流注意
新的惡意程式碼隱藏在開放原始碼內。專家在提大家採用開放原始碼時，需注意是否內含惡意程式碼。")</f>
        <v>假AWS檔案中隱藏的後門未獲主流注意
新的惡意程式碼隱藏在開放原始碼內。專家在提大家採用開放原始碼時，需注意是否內含惡意程式碼。</v>
      </c>
      <c r="P399" s="1"/>
      <c r="Q399" s="1"/>
      <c r="R399" s="1"/>
      <c r="S399" s="1"/>
      <c r="T399" s="1"/>
      <c r="U399" s="1"/>
      <c r="V399" s="1"/>
      <c r="W399" s="1"/>
      <c r="X399" s="1"/>
      <c r="Y399" s="1"/>
      <c r="Z399" s="1"/>
      <c r="AA399" s="1"/>
      <c r="AB399" s="1"/>
    </row>
    <row r="400" hidden="1" outlineLevel="1">
      <c r="A400" s="1" t="s">
        <v>519</v>
      </c>
      <c r="B400" s="1" t="s">
        <v>537</v>
      </c>
      <c r="C400" s="1" t="s">
        <v>1263</v>
      </c>
      <c r="D400" s="1" t="s">
        <v>1368</v>
      </c>
      <c r="E400" s="62">
        <v>45490.0</v>
      </c>
      <c r="F400" s="17" t="s">
        <v>1369</v>
      </c>
      <c r="G400" s="7" t="s">
        <v>1370</v>
      </c>
      <c r="H400" s="16"/>
      <c r="I400" s="4" t="s">
        <v>1280</v>
      </c>
      <c r="J400" s="4" t="b">
        <v>1</v>
      </c>
      <c r="K400" s="4" t="b">
        <v>0</v>
      </c>
      <c r="L400" s="1" t="s">
        <v>1371</v>
      </c>
      <c r="M400" s="6"/>
      <c r="N400" s="1"/>
      <c r="O400" s="1" t="str">
        <f>IFERROR(__xludf.DUMMYFUNCTION("GOOGLETRANSLATE(F400,""zh-CN"",""zh-TW"") "),"歐盟的「地平線」（Horizo​​​​n program）計畫旨在為科技和科學研究提供資金，其中「下一代網路 (NGI)」倡議是該計畫的一部分。然而，2025 年「地平線」計畫的草案中，大部分的 NGI 資金都被刪除。許多倡議者擔憂，這將影響許多進行中的項目，並阻礙歐洲在網絡基礎建設方面取得進展。 OW2 執行長 Pierre-Yves Gibello 認為，歐盟必須重新評估此決策，因為 FOSS（自由及開放原始碼軟件）對保護歐洲利益至關重要。雖然 NGI 倡議仍將在 2025 年獲得部分資金，但預算大幅"&amp;"縮減，且未來幾年可能會面臨資金不足的困境。")</f>
        <v>歐盟的「地平線」（Horizo​​​​n program）計畫旨在為科技和科學研究提供資金，其中「下一代網路 (NGI)」倡議是該計畫的一部分。然而，2025 年「地平線」計畫的草案中，大部分的 NGI 資金都被刪除。許多倡議者擔憂，這將影響許多進行中的項目，並阻礙歐洲在網絡基礎建設方面取得進展。 OW2 執行長 Pierre-Yves Gibello 認為，歐盟必須重新評估此決策，因為 FOSS（自由及開放原始碼軟件）對保護歐洲利益至關重要。雖然 NGI 倡議仍將在 2025 年獲得部分資金，但預算大幅縮減，且未來幾年可能會面臨資金不足的困境。</v>
      </c>
      <c r="P400" s="1"/>
      <c r="Q400" s="1"/>
      <c r="R400" s="1"/>
      <c r="S400" s="1"/>
      <c r="T400" s="1"/>
      <c r="U400" s="1"/>
      <c r="V400" s="1"/>
      <c r="W400" s="1"/>
      <c r="X400" s="1"/>
      <c r="Y400" s="1"/>
      <c r="Z400" s="1"/>
      <c r="AA400" s="1"/>
      <c r="AB400" s="1"/>
    </row>
    <row r="401" hidden="1" outlineLevel="1">
      <c r="A401" s="75" t="s">
        <v>519</v>
      </c>
      <c r="B401" s="75" t="s">
        <v>537</v>
      </c>
      <c r="C401" s="75" t="s">
        <v>1372</v>
      </c>
      <c r="D401" s="75" t="s">
        <v>1373</v>
      </c>
      <c r="E401" s="76">
        <v>45503.0</v>
      </c>
      <c r="F401" s="75" t="s">
        <v>1374</v>
      </c>
      <c r="G401" s="77" t="s">
        <v>1375</v>
      </c>
      <c r="H401" s="78"/>
      <c r="I401" s="78" t="s">
        <v>1305</v>
      </c>
      <c r="J401" s="4" t="b">
        <v>0</v>
      </c>
      <c r="K401" s="4" t="b">
        <v>0</v>
      </c>
      <c r="L401" s="1"/>
      <c r="M401" s="6"/>
      <c r="N401" s="1"/>
      <c r="O401" s="1" t="str">
        <f>IFERROR(__xludf.DUMMYFUNCTION("GOOGLETRANSLATE(F401,""zh-CN"",""zh-TW"") "),"白宮最近發表了一份關於開源人工智慧的報告，強調目前不需要對這些技術進行限制。美國商務部的Alan Davidson指出開放系統的重要性，認為將 AI 元件廣泛開放有助於創新。這份報告平衡了對 AI 安全風險和技術開放的好處，建議應持續監控，而不是立即實施管制。然而，對於 AI 開放性的政治觀點有所不同，參議員 JD Vance 支持開源 AI，認為這可以避免大科技公司壟斷。")</f>
        <v>白宮最近發表了一份關於開源人工智慧的報告，強調目前不需要對這些技術進行限制。美國商務部的Alan Davidson指出開放系統的重要性，認為將 AI 元件廣泛開放有助於創新。這份報告平衡了對 AI 安全風險和技術開放的好處，建議應持續監控，而不是立即實施管制。然而，對於 AI 開放性的政治觀點有所不同，參議員 JD Vance 支持開源 AI，認為這可以避免大科技公司壟斷。</v>
      </c>
      <c r="P401" s="1"/>
      <c r="Q401" s="1"/>
      <c r="R401" s="1"/>
      <c r="S401" s="1"/>
      <c r="T401" s="1"/>
      <c r="U401" s="1"/>
      <c r="V401" s="1"/>
      <c r="W401" s="1"/>
      <c r="X401" s="1"/>
      <c r="Y401" s="1"/>
      <c r="Z401" s="1"/>
      <c r="AA401" s="1"/>
      <c r="AB401" s="1"/>
    </row>
    <row r="402" hidden="1" outlineLevel="1">
      <c r="A402" s="75" t="s">
        <v>519</v>
      </c>
      <c r="B402" s="75" t="s">
        <v>809</v>
      </c>
      <c r="C402" s="79" t="s">
        <v>1376</v>
      </c>
      <c r="D402" s="75" t="s">
        <v>1377</v>
      </c>
      <c r="E402" s="76">
        <v>45499.0</v>
      </c>
      <c r="F402" s="75" t="s">
        <v>1378</v>
      </c>
      <c r="G402" s="77" t="s">
        <v>1379</v>
      </c>
      <c r="H402" s="78"/>
      <c r="I402" s="78" t="s">
        <v>1305</v>
      </c>
      <c r="J402" s="4" t="b">
        <v>0</v>
      </c>
      <c r="K402" s="4" t="b">
        <v>0</v>
      </c>
      <c r="L402" s="1"/>
      <c r="M402" s="6"/>
      <c r="N402" s="1"/>
      <c r="O402" s="1" t="str">
        <f>IFERROR(__xludf.DUMMYFUNCTION("GOOGLETRANSLATE(F402,""zh-CN"",""zh-TW"") "),"Mark Zuckerberg 在 Llama 3.1發佈時所提倡的「開源人工智能」願景，認為這種方法無法實現真正的開源理想。作者主張，僅發布模型權重而非完整的原始碼或訓練數據，限制了與開源軟件相關的益處，尤其是在使用者自由和控制方面。授權限制和缺乏必要的工具和資料削弱了Llama 3.1與Linux所代表的開源傳統一致的主張。")</f>
        <v>Mark Zuckerberg 在 Llama 3.1發佈時所提倡的「開源人工智能」願景，認為這種方法無法實現真正的開源理想。作者主張，僅發布模型權重而非完整的原始碼或訓練數據，限制了與開源軟件相關的益處，尤其是在使用者自由和控制方面。授權限制和缺乏必要的工具和資料削弱了Llama 3.1與Linux所代表的開源傳統一致的主張。</v>
      </c>
      <c r="P402" s="1"/>
      <c r="Q402" s="1"/>
      <c r="R402" s="1"/>
      <c r="S402" s="1"/>
      <c r="T402" s="1"/>
      <c r="U402" s="1"/>
      <c r="V402" s="1"/>
      <c r="W402" s="1"/>
      <c r="X402" s="1"/>
      <c r="Y402" s="1"/>
      <c r="Z402" s="1"/>
      <c r="AA402" s="1"/>
      <c r="AB402" s="1"/>
    </row>
    <row r="403" hidden="1" outlineLevel="1">
      <c r="A403" s="75" t="s">
        <v>1380</v>
      </c>
      <c r="B403" s="75" t="s">
        <v>708</v>
      </c>
      <c r="C403" s="75" t="s">
        <v>1381</v>
      </c>
      <c r="D403" s="75" t="s">
        <v>1382</v>
      </c>
      <c r="E403" s="76">
        <v>45498.0</v>
      </c>
      <c r="F403" s="75" t="s">
        <v>1383</v>
      </c>
      <c r="G403" s="77" t="s">
        <v>1384</v>
      </c>
      <c r="H403" s="78"/>
      <c r="I403" s="78" t="s">
        <v>1305</v>
      </c>
      <c r="J403" s="4" t="b">
        <v>0</v>
      </c>
      <c r="K403" s="4" t="b">
        <v>0</v>
      </c>
      <c r="L403" s="1"/>
      <c r="M403" s="6"/>
      <c r="N403" s="1"/>
      <c r="O403" s="1" t="str">
        <f>IFERROR(__xludf.DUMMYFUNCTION("GOOGLETRANSLATE(F403,""zh-CN"",""zh-TW"") "),"瑞士通過了一項新法律，要求政府機構使用開源軟件 (OSS)，並將由公共部門開發的軟件原始碼以開源授權發布，除非受到安全或第三方權利的限制。該法律《使用電子手段履行政府任務的聯邦法律》（EMBAG）想提高透明度、安全性和效率。此外，該法還要求公佈無敏感性的政府資料，推動「預設開放」的模式。這一手段與其他歐洲國家相似，並與例如“自由與開源軟件審計”（FOSSA）項目這樣的安全提升措施一致。
")</f>
        <v>瑞士通過了一項新法律，要求政府機構使用開源軟件 (OSS)，並將由公共部門開發的軟件原始碼以開源授權發布，除非受到安全或第三方權利的限制。該法律《使用電子手段履行政府任務的聯邦法律》（EMBAG）想提高透明度、安全性和效率。此外，該法還要求公佈無敏感性的政府資料，推動「預設開放」的模式。這一手段與其他歐洲國家相似，並與例如“自由與開源軟件審計”（FOSSA）項目這樣的安全提升措施一致。
</v>
      </c>
      <c r="P403" s="1"/>
      <c r="Q403" s="1"/>
      <c r="R403" s="1"/>
      <c r="S403" s="1"/>
      <c r="T403" s="1"/>
      <c r="U403" s="1"/>
      <c r="V403" s="1"/>
      <c r="W403" s="1"/>
      <c r="X403" s="1"/>
      <c r="Y403" s="1"/>
      <c r="Z403" s="1"/>
      <c r="AA403" s="1"/>
      <c r="AB403" s="1"/>
    </row>
    <row r="404" hidden="1" outlineLevel="1">
      <c r="A404" s="75" t="s">
        <v>1385</v>
      </c>
      <c r="B404" s="75" t="s">
        <v>708</v>
      </c>
      <c r="C404" s="75" t="s">
        <v>1021</v>
      </c>
      <c r="D404" s="80" t="s">
        <v>1386</v>
      </c>
      <c r="E404" s="76">
        <v>45505.0</v>
      </c>
      <c r="F404" s="75" t="s">
        <v>1387</v>
      </c>
      <c r="G404" s="77" t="s">
        <v>1388</v>
      </c>
      <c r="H404" s="78"/>
      <c r="I404" s="78" t="s">
        <v>1305</v>
      </c>
      <c r="J404" s="4" t="b">
        <v>0</v>
      </c>
      <c r="K404" s="4" t="b">
        <v>0</v>
      </c>
      <c r="L404" s="1"/>
      <c r="M404" s="6"/>
      <c r="N404" s="1"/>
      <c r="O404" s="1" t="str">
        <f>IFERROR(__xludf.DUMMYFUNCTION("GOOGLETRANSLATE(F404,""zh-CN"",""zh-TW"") "),"歐盟的AI法案，該法案自2024年8月1日起正式生效，並針對人工智能應用引入了基於風險的規範。法案將AI系統分為三個層級：低/無風險、高風險、有限風險，並對應不同的法規要求。這與開放技術密切相關，特別是在通用型AI（GPAI）透明性要求方面。 GPAI開發者必須提供訓練資料摘要、遵守版權規則，並遵循歐盟正在製定的實踐準則。")</f>
        <v>歐盟的AI法案，該法案自2024年8月1日起正式生效，並針對人工智能應用引入了基於風險的規範。法案將AI系統分為三個層級：低/無風險、高風險、有限風險，並對應不同的法規要求。這與開放技術密切相關，特別是在通用型AI（GPAI）透明性要求方面。 GPAI開發者必須提供訓練資料摘要、遵守版權規則，並遵循歐盟正在製定的實踐準則。</v>
      </c>
      <c r="P404" s="1"/>
      <c r="Q404" s="1"/>
      <c r="R404" s="1"/>
      <c r="S404" s="1"/>
      <c r="T404" s="1"/>
      <c r="U404" s="1"/>
      <c r="V404" s="1"/>
      <c r="W404" s="1"/>
      <c r="X404" s="1"/>
      <c r="Y404" s="1"/>
      <c r="Z404" s="1"/>
      <c r="AA404" s="1"/>
      <c r="AB404" s="1"/>
    </row>
    <row r="405" hidden="1" outlineLevel="1">
      <c r="A405" s="81" t="s">
        <v>519</v>
      </c>
      <c r="B405" s="81" t="s">
        <v>520</v>
      </c>
      <c r="C405" s="82" t="s">
        <v>1389</v>
      </c>
      <c r="D405" s="83" t="s">
        <v>1390</v>
      </c>
      <c r="E405" s="84">
        <v>45512.0</v>
      </c>
      <c r="F405" s="81" t="s">
        <v>1391</v>
      </c>
      <c r="G405" s="83" t="s">
        <v>1392</v>
      </c>
      <c r="H405" s="85"/>
      <c r="I405" s="85" t="s">
        <v>1305</v>
      </c>
      <c r="J405" s="86" t="b">
        <v>0</v>
      </c>
      <c r="K405" s="86" t="b">
        <v>0</v>
      </c>
      <c r="L405" s="87"/>
      <c r="M405" s="88"/>
      <c r="N405" s="87"/>
      <c r="O405" s="1" t="str">
        <f>IFERROR(__xludf.DUMMYFUNCTION("GOOGLETRANSLATE(F405,""zh-CN"",""zh-TW"") "),"Samy Kamkar開發的開源雷射監控工具，能夠遠端偵測鍵盤輸入和錄製聲音。他的創新改進了傳統的「激光麥克風」，使用激光捕捉目標筆記本或窗戶的振動，能在不被察覺的情況下竊聽鍵盤輸入或對話。 Kamkar計劃在GitHub上發布該工具的完整設計圖，使這項技術公開可用。這項計畫強調了開源工具在提升安全研究並揭示物理與數字空間漏洞的潛力。")</f>
        <v>Samy Kamkar開發的開源雷射監控工具，能夠遠端偵測鍵盤輸入和錄製聲音。他的創新改進了傳統的「激光麥克風」，使用激光捕捉目標筆記本或窗戶的振動，能在不被察覺的情況下竊聽鍵盤輸入或對話。 Kamkar計劃在GitHub上發布該工具的完整設計圖，使這項技術公開可用。這項計畫強調了開源工具在提升安全研究並揭示物理與數字空間漏洞的潛力。</v>
      </c>
      <c r="P405" s="1"/>
      <c r="Q405" s="1"/>
      <c r="R405" s="1"/>
      <c r="S405" s="1"/>
      <c r="T405" s="1"/>
      <c r="U405" s="1"/>
      <c r="V405" s="1"/>
      <c r="W405" s="1"/>
      <c r="X405" s="1"/>
      <c r="Y405" s="1"/>
      <c r="Z405" s="1"/>
      <c r="AA405" s="1"/>
      <c r="AB405" s="1"/>
    </row>
    <row r="406" hidden="1" outlineLevel="1">
      <c r="A406" s="1" t="s">
        <v>574</v>
      </c>
      <c r="B406" s="1" t="s">
        <v>537</v>
      </c>
      <c r="C406" s="29" t="s">
        <v>1393</v>
      </c>
      <c r="D406" s="1" t="s">
        <v>1394</v>
      </c>
      <c r="E406" s="27">
        <v>45499.0</v>
      </c>
      <c r="F406" s="17" t="s">
        <v>1395</v>
      </c>
      <c r="G406" s="7" t="s">
        <v>1396</v>
      </c>
      <c r="H406" s="16"/>
      <c r="I406" s="4" t="s">
        <v>1280</v>
      </c>
      <c r="J406" s="4" t="b">
        <v>1</v>
      </c>
      <c r="K406" s="4" t="b">
        <v>0</v>
      </c>
      <c r="L406" s="1" t="s">
        <v>1397</v>
      </c>
      <c r="M406" s="6"/>
      <c r="N406" s="1" t="s">
        <v>1398</v>
      </c>
      <c r="O406" s="1" t="str">
        <f>IFERROR(__xludf.DUMMYFUNCTION("GOOGLETRANSLATE(F406,""zh-CN"",""zh-TW"") "),"由美國聯邦政府並為聯邦政府服務的搜尋引擎，提出 4 個優點，或許是政府資訊服務所需的重點。
專為政府打造 — 安全、合規，圍繞著政府網絡發布的獨特環境而設計。
高度可調性 — 無需開發人員 - 使用我們簡單的界面自行設計您的搜尋體驗。
貼心的客戶服務 — 從實施到 SEO，我們隨時為您提供協助。
無入門門檻 — 開始使用 Search.gov 沒有任何障礙。")</f>
        <v>由美國聯邦政府並為聯邦政府服務的搜尋引擎，提出 4 個優點，或許是政府資訊服務所需的重點。
專為政府打造 — 安全、合規，圍繞著政府網絡發布的獨特環境而設計。
高度可調性 — 無需開發人員 - 使用我們簡單的界面自行設計您的搜尋體驗。
貼心的客戶服務 — 從實施到 SEO，我們隨時為您提供協助。
無入門門檻 — 開始使用 Search.gov 沒有任何障礙。</v>
      </c>
      <c r="P406" s="1"/>
      <c r="Q406" s="1"/>
      <c r="R406" s="1"/>
      <c r="S406" s="1"/>
      <c r="T406" s="1"/>
      <c r="U406" s="1"/>
      <c r="V406" s="1"/>
      <c r="W406" s="1"/>
      <c r="X406" s="1"/>
      <c r="Y406" s="1"/>
      <c r="Z406" s="1"/>
      <c r="AA406" s="1"/>
      <c r="AB406" s="1"/>
    </row>
    <row r="407" hidden="1" outlineLevel="1">
      <c r="A407" s="1" t="s">
        <v>519</v>
      </c>
      <c r="B407" s="1" t="s">
        <v>520</v>
      </c>
      <c r="C407" s="1" t="s">
        <v>1021</v>
      </c>
      <c r="D407" s="1" t="s">
        <v>1399</v>
      </c>
      <c r="E407" s="27">
        <v>45546.0</v>
      </c>
      <c r="F407" s="17" t="s">
        <v>1400</v>
      </c>
      <c r="G407" s="7" t="s">
        <v>1401</v>
      </c>
      <c r="H407" s="16"/>
      <c r="I407" s="4" t="s">
        <v>1286</v>
      </c>
      <c r="J407" s="4" t="b">
        <v>1</v>
      </c>
      <c r="K407" s="4" t="b">
        <v>0</v>
      </c>
      <c r="L407" s="1" t="s">
        <v>1402</v>
      </c>
      <c r="M407" s="6"/>
      <c r="N407" s="1"/>
      <c r="O407" s="1" t="str">
        <f>IFERROR(__xludf.DUMMYFUNCTION("GOOGLETRANSLATE(F407,""zh-CN"",""zh-TW"") "),"此文介紹一些提高生產力的開源工具
Penpot：設計與原型製作；
Cal.com：調度基礎設施；
Screenity：屏幕錄製；
Jitsi：視頻會議；
Nextcloud：雲端儲存；
Ghost: 出版；
TabbyML：程式編寫 AI 助理；
Chatwoot：客戶服務管理；
PhotoPrism：照片管理；
Bitwarden：密碼管理；
AppFlowy：任務管理；
Dub.co：連結管理")</f>
        <v>此文介紹一些提高生產力的開源工具
Penpot：設計與原型製作；
Cal.com：調度基礎設施；
Screenity：屏幕錄製；
Jitsi：視頻會議；
Nextcloud：雲端儲存；
Ghost: 出版；
TabbyML：程式編寫 AI 助理；
Chatwoot：客戶服務管理；
PhotoPrism：照片管理；
Bitwarden：密碼管理；
AppFlowy：任務管理；
Dub.co：連結管理</v>
      </c>
      <c r="P407" s="1"/>
      <c r="Q407" s="1"/>
      <c r="R407" s="1"/>
      <c r="S407" s="1"/>
      <c r="T407" s="1"/>
      <c r="U407" s="1"/>
      <c r="V407" s="1"/>
      <c r="W407" s="1"/>
      <c r="X407" s="1"/>
      <c r="Y407" s="1"/>
      <c r="Z407" s="1"/>
      <c r="AA407" s="1"/>
      <c r="AB407" s="1"/>
    </row>
    <row r="408" hidden="1" outlineLevel="1">
      <c r="A408" s="1" t="s">
        <v>1403</v>
      </c>
      <c r="B408" s="1" t="s">
        <v>520</v>
      </c>
      <c r="C408" s="1" t="s">
        <v>1404</v>
      </c>
      <c r="D408" s="1" t="s">
        <v>1405</v>
      </c>
      <c r="E408" s="27">
        <v>45499.0</v>
      </c>
      <c r="F408" s="1" t="s">
        <v>1406</v>
      </c>
      <c r="G408" s="7" t="s">
        <v>1407</v>
      </c>
      <c r="H408" s="16"/>
      <c r="I408" s="4" t="s">
        <v>1280</v>
      </c>
      <c r="J408" s="4" t="b">
        <v>0</v>
      </c>
      <c r="K408" s="4" t="b">
        <v>0</v>
      </c>
      <c r="L408" s="1" t="s">
        <v>1408</v>
      </c>
      <c r="M408" s="6"/>
      <c r="N408" s="1"/>
      <c r="O408" s="1" t="str">
        <f>IFERROR(__xludf.DUMMYFUNCTION("GOOGLETRANSLATE(F408,""zh-CN"",""zh-TW"") "),"美國數學協會推動開放課程倡議，將審核過的開源數學課本以列表方式陳現。")</f>
        <v>美國數學協會推動開放課程倡議，將審核過的開源數學課本以列表方式陳現。</v>
      </c>
      <c r="P408" s="1"/>
      <c r="Q408" s="1"/>
      <c r="R408" s="1"/>
      <c r="S408" s="1"/>
      <c r="T408" s="1"/>
      <c r="U408" s="1"/>
      <c r="V408" s="1"/>
      <c r="W408" s="1"/>
      <c r="X408" s="1"/>
      <c r="Y408" s="1"/>
      <c r="Z408" s="1"/>
      <c r="AA408" s="1"/>
      <c r="AB408" s="1"/>
    </row>
    <row r="409" hidden="1" outlineLevel="1">
      <c r="A409" s="1" t="s">
        <v>1409</v>
      </c>
      <c r="B409" s="1" t="s">
        <v>520</v>
      </c>
      <c r="C409" s="1" t="s">
        <v>755</v>
      </c>
      <c r="D409" s="1" t="s">
        <v>1410</v>
      </c>
      <c r="E409" s="27">
        <v>45512.0</v>
      </c>
      <c r="F409" s="17" t="s">
        <v>1411</v>
      </c>
      <c r="G409" s="7" t="s">
        <v>1412</v>
      </c>
      <c r="H409" s="16"/>
      <c r="I409" s="4" t="s">
        <v>1286</v>
      </c>
      <c r="J409" s="4" t="b">
        <v>1</v>
      </c>
      <c r="K409" s="4" t="b">
        <v>0</v>
      </c>
      <c r="L409" s="1" t="s">
        <v>1413</v>
      </c>
      <c r="M409" s="6"/>
      <c r="N409" s="1"/>
      <c r="O409" s="1" t="str">
        <f>IFERROR(__xludf.DUMMYFUNCTION("GOOGLETRANSLATE(F409,""zh-CN"",""zh-TW"") "),"聯合國七月之「OSPOs for Good」研討會探討開源下一步，激勵全球永續進展
-該研討會以開源項目辦公室 (OSPO)是一個中心主題，發言者強調了它們在促進跨部門組織內部和組織之間的合作方面的關鍵作用。
-聯合國開源策略的三大支柱：內部使用政策、文化變革與發展。
-開源在對抗氣候變遷、金融機構合規性監管、數字公共管理上皆能帶來突破性的效益")</f>
        <v>聯合國七月之「OSPOs for Good」研討會探討開源下一步，激勵全球永續進展
-該研討會以開源項目辦公室 (OSPO)是一個中心主題，發言者強調了它們在促進跨部門組織內部和組織之間的合作方面的關鍵作用。
-聯合國開源策略的三大支柱：內部使用政策、文化變革與發展。
-開源在對抗氣候變遷、金融機構合規性監管、數字公共管理上皆能帶來突破性的效益</v>
      </c>
      <c r="P409" s="1"/>
      <c r="Q409" s="1"/>
      <c r="R409" s="1"/>
      <c r="S409" s="1"/>
      <c r="T409" s="1"/>
      <c r="U409" s="1"/>
      <c r="V409" s="1"/>
      <c r="W409" s="1"/>
      <c r="X409" s="1"/>
      <c r="Y409" s="1"/>
      <c r="Z409" s="1"/>
      <c r="AA409" s="1"/>
      <c r="AB409" s="1"/>
    </row>
    <row r="410" hidden="1" outlineLevel="1">
      <c r="A410" s="1" t="s">
        <v>574</v>
      </c>
      <c r="B410" s="1" t="s">
        <v>680</v>
      </c>
      <c r="C410" s="1" t="s">
        <v>1414</v>
      </c>
      <c r="D410" s="1" t="s">
        <v>1415</v>
      </c>
      <c r="E410" s="27">
        <v>45499.0</v>
      </c>
      <c r="F410" s="1" t="s">
        <v>1416</v>
      </c>
      <c r="G410" s="7" t="s">
        <v>1417</v>
      </c>
      <c r="H410" s="16"/>
      <c r="I410" s="4" t="s">
        <v>1280</v>
      </c>
      <c r="J410" s="4" t="b">
        <v>0</v>
      </c>
      <c r="K410" s="4" t="b">
        <v>0</v>
      </c>
      <c r="L410" s="1" t="s">
        <v>1418</v>
      </c>
      <c r="M410" s="6"/>
      <c r="N410" s="1" t="s">
        <v>1419</v>
      </c>
      <c r="O410" s="1" t="str">
        <f>IFERROR(__xludf.DUMMYFUNCTION("GOOGLETRANSLATE(F410,""zh-CN"",""zh-TW"") "),"研究機構，致力於進行傳統研究環境中很少可能實現的基礎性和開放式研究計畫。")</f>
        <v>研究機構，致力於進行傳統研究環境中很少可能實現的基礎性和開放式研究計畫。</v>
      </c>
      <c r="P410" s="1"/>
      <c r="Q410" s="1"/>
      <c r="R410" s="1"/>
      <c r="S410" s="1"/>
      <c r="T410" s="1"/>
      <c r="U410" s="1"/>
      <c r="V410" s="1"/>
      <c r="W410" s="1"/>
      <c r="X410" s="1"/>
      <c r="Y410" s="1"/>
      <c r="Z410" s="1"/>
      <c r="AA410" s="1"/>
      <c r="AB410" s="1"/>
    </row>
    <row r="411" hidden="1" outlineLevel="1">
      <c r="A411" s="1" t="s">
        <v>519</v>
      </c>
      <c r="B411" s="1" t="s">
        <v>537</v>
      </c>
      <c r="C411" s="1" t="s">
        <v>1420</v>
      </c>
      <c r="D411" s="1" t="s">
        <v>1421</v>
      </c>
      <c r="E411" s="27">
        <v>45492.0</v>
      </c>
      <c r="F411" s="17" t="s">
        <v>1422</v>
      </c>
      <c r="G411" s="7" t="s">
        <v>1423</v>
      </c>
      <c r="H411" s="16"/>
      <c r="I411" s="4" t="s">
        <v>1280</v>
      </c>
      <c r="J411" s="4" t="b">
        <v>0</v>
      </c>
      <c r="K411" s="4" t="b">
        <v>0</v>
      </c>
      <c r="L411" s="1" t="s">
        <v>1424</v>
      </c>
      <c r="M411" s="6"/>
      <c r="N411" s="1" t="s">
        <v>1425</v>
      </c>
      <c r="O411" s="1" t="str">
        <f>IFERROR(__xludf.DUMMYFUNCTION("GOOGLETRANSLATE(F411,""zh-CN"",""zh-TW"") "),"微軟：Linux 是當今 Azure 上的頂級操作系統
超過 60% 的 Azure Marketplace 產品是基於 Linux，總共約有 20,000 個服務，超過 60% 的 VM 核心是基於 Linux 建置。
為了運行這些服務，微軟維護了自己的核心 Azure Linux，並在 2023 年發布了自己的 Linux 版本Azure Linux 。")</f>
        <v>微軟：Linux 是當今 Azure 上的頂級操作系統
超過 60% 的 Azure Marketplace 產品是基於 Linux，總共約有 20,000 個服務，超過 60% 的 VM 核心是基於 Linux 建置。
為了運行這些服務，微軟維護了自己的核心 Azure Linux，並在 2023 年發布了自己的 Linux 版本Azure Linux 。</v>
      </c>
      <c r="P411" s="1"/>
      <c r="Q411" s="1"/>
      <c r="R411" s="1"/>
      <c r="S411" s="1"/>
      <c r="T411" s="1"/>
      <c r="U411" s="1"/>
      <c r="V411" s="1"/>
      <c r="W411" s="1"/>
      <c r="X411" s="1"/>
      <c r="Y411" s="1"/>
      <c r="Z411" s="1"/>
      <c r="AA411" s="1"/>
      <c r="AB411" s="1"/>
    </row>
    <row r="412" hidden="1" outlineLevel="1">
      <c r="A412" s="1" t="s">
        <v>507</v>
      </c>
      <c r="B412" s="1" t="s">
        <v>569</v>
      </c>
      <c r="C412" s="1" t="s">
        <v>1179</v>
      </c>
      <c r="D412" s="1" t="s">
        <v>1426</v>
      </c>
      <c r="E412" s="27">
        <v>45502.0</v>
      </c>
      <c r="F412" s="1" t="s">
        <v>1427</v>
      </c>
      <c r="G412" s="7" t="s">
        <v>1428</v>
      </c>
      <c r="H412" s="9" t="s">
        <v>1429</v>
      </c>
      <c r="I412" s="4" t="s">
        <v>1280</v>
      </c>
      <c r="J412" s="4" t="b">
        <v>0</v>
      </c>
      <c r="K412" s="4" t="b">
        <v>0</v>
      </c>
      <c r="L412" s="1" t="s">
        <v>1430</v>
      </c>
      <c r="M412" s="6"/>
      <c r="N412" s="1" t="s">
        <v>1431</v>
      </c>
      <c r="O412" s="1" t="str">
        <f>IFERROR(__xludf.DUMMYFUNCTION("GOOGLETRANSLATE(F412,""zh-CN"",""zh-TW"") "),"40 個免費的 LLM 課程")</f>
        <v>40 個免費的 LLM 課程</v>
      </c>
      <c r="P412" s="1"/>
      <c r="Q412" s="1"/>
      <c r="R412" s="1"/>
      <c r="S412" s="1"/>
      <c r="T412" s="1"/>
      <c r="U412" s="1"/>
      <c r="V412" s="1"/>
      <c r="W412" s="1"/>
      <c r="X412" s="1"/>
      <c r="Y412" s="1"/>
      <c r="Z412" s="1"/>
      <c r="AA412" s="1"/>
      <c r="AB412" s="1"/>
    </row>
    <row r="413" hidden="1" outlineLevel="1">
      <c r="A413" s="1" t="s">
        <v>1432</v>
      </c>
      <c r="B413" s="1" t="s">
        <v>680</v>
      </c>
      <c r="C413" s="1" t="s">
        <v>1051</v>
      </c>
      <c r="D413" s="1" t="s">
        <v>1433</v>
      </c>
      <c r="E413" s="27">
        <v>45512.0</v>
      </c>
      <c r="F413" s="1" t="s">
        <v>1434</v>
      </c>
      <c r="G413" s="7" t="s">
        <v>1435</v>
      </c>
      <c r="H413" s="16"/>
      <c r="I413" s="4" t="s">
        <v>1286</v>
      </c>
      <c r="J413" s="4" t="b">
        <v>0</v>
      </c>
      <c r="K413" s="4" t="b">
        <v>0</v>
      </c>
      <c r="L413" s="1" t="s">
        <v>1436</v>
      </c>
      <c r="M413" s="6"/>
      <c r="N413" s="1"/>
      <c r="O413" s="1" t="str">
        <f>IFERROR(__xludf.DUMMYFUNCTION("GOOGLETRANSLATE(F413,""zh-CN"",""zh-TW"") "),"開放資料憲章和公民指南針之間的新聯合報告題為「公共資訊的取得、開放資料和個人資料保護：它們如何相互對話？」現已可供下載。本文收集了 4 個歐洲國家和 4 個拉丁美洲國家的資料，以了解這兩個機構如何在不同的監管框架內互動。")</f>
        <v>開放資料憲章和公民指南針之間的新聯合報告題為「公共資訊的取得、開放資料和個人資料保護：它們如何相互對話？」現已可供下載。本文收集了 4 個歐洲國家和 4 個拉丁美洲國家的資料，以了解這兩個機構如何在不同的監管框架內互動。</v>
      </c>
      <c r="P413" s="1"/>
      <c r="Q413" s="1"/>
      <c r="R413" s="1"/>
      <c r="S413" s="1"/>
      <c r="T413" s="1"/>
      <c r="U413" s="1"/>
      <c r="V413" s="1"/>
      <c r="W413" s="1"/>
      <c r="X413" s="1"/>
      <c r="Y413" s="1"/>
      <c r="Z413" s="1"/>
      <c r="AA413" s="1"/>
      <c r="AB413" s="1"/>
    </row>
    <row r="414" hidden="1" outlineLevel="1">
      <c r="A414" s="1" t="s">
        <v>519</v>
      </c>
      <c r="B414" s="1" t="s">
        <v>537</v>
      </c>
      <c r="C414" s="1" t="s">
        <v>1437</v>
      </c>
      <c r="D414" s="1" t="s">
        <v>1438</v>
      </c>
      <c r="E414" s="27">
        <v>45496.0</v>
      </c>
      <c r="F414" s="1" t="s">
        <v>1439</v>
      </c>
      <c r="G414" s="7" t="s">
        <v>1440</v>
      </c>
      <c r="H414" s="16"/>
      <c r="I414" s="4" t="s">
        <v>1280</v>
      </c>
      <c r="J414" s="4" t="b">
        <v>0</v>
      </c>
      <c r="K414" s="4" t="b">
        <v>0</v>
      </c>
      <c r="L414" s="1" t="s">
        <v>1441</v>
      </c>
      <c r="M414" s="6"/>
      <c r="N414" s="1"/>
      <c r="O414" s="1" t="str">
        <f>IFERROR(__xludf.DUMMYFUNCTION("GOOGLETRANSLATE(F414,""zh-CN"",""zh-TW"") "),"扎克柏對 Meta 開源 LLM 的想法
- 在高效能計算的早期，開放源始碼的 Linux 後來超越封閉的 Unix，成為行業標準，開放源碼帶來更多安全性、先進功能和更廣泛的生態系統。
- Meta 與多家企業合作，擴展開放源碼生態系統，Llama 模型將在各大雲平台上可用，企業如 Scale.AI 和 Dell 已準備協助企業採用 Llama，推動其成為行業標準。
- 開放源碼 AI 可提升生產力、創造力和生活品質，推動經濟成長和科學研究。開源確保技術權力不集中於少數公司，並促進技術的安全和廣泛部署。
"&amp;"- 開源 AI 更具安全性，透明性允許更廣泛的審查和改進，能有效應對意外和故意的風險，政府將受益於支持開源技術，促進全球繁榮與安全。")</f>
        <v>扎克柏對 Meta 開源 LLM 的想法
- 在高效能計算的早期，開放源始碼的 Linux 後來超越封閉的 Unix，成為行業標準，開放源碼帶來更多安全性、先進功能和更廣泛的生態系統。
- Meta 與多家企業合作，擴展開放源碼生態系統，Llama 模型將在各大雲平台上可用，企業如 Scale.AI 和 Dell 已準備協助企業採用 Llama，推動其成為行業標準。
- 開放源碼 AI 可提升生產力、創造力和生活品質，推動經濟成長和科學研究。開源確保技術權力不集中於少數公司，並促進技術的安全和廣泛部署。
- 開源 AI 更具安全性，透明性允許更廣泛的審查和改進，能有效應對意外和故意的風險，政府將受益於支持開源技術，促進全球繁榮與安全。</v>
      </c>
      <c r="P414" s="1"/>
      <c r="Q414" s="1"/>
      <c r="R414" s="1"/>
      <c r="S414" s="1"/>
      <c r="T414" s="1"/>
      <c r="U414" s="1"/>
      <c r="V414" s="1"/>
      <c r="W414" s="1"/>
      <c r="X414" s="1"/>
      <c r="Y414" s="1"/>
      <c r="Z414" s="1"/>
      <c r="AA414" s="1"/>
      <c r="AB414" s="1"/>
    </row>
    <row r="415" hidden="1" outlineLevel="1">
      <c r="A415" s="1" t="s">
        <v>519</v>
      </c>
      <c r="B415" s="1" t="s">
        <v>599</v>
      </c>
      <c r="C415" s="1" t="s">
        <v>1179</v>
      </c>
      <c r="D415" s="1" t="s">
        <v>1442</v>
      </c>
      <c r="E415" s="27">
        <v>45505.0</v>
      </c>
      <c r="F415" s="1" t="s">
        <v>1443</v>
      </c>
      <c r="G415" s="7" t="s">
        <v>1444</v>
      </c>
      <c r="H415" s="16"/>
      <c r="I415" s="4" t="s">
        <v>1280</v>
      </c>
      <c r="J415" s="4" t="b">
        <v>0</v>
      </c>
      <c r="K415" s="4" t="b">
        <v>0</v>
      </c>
      <c r="L415" s="1" t="s">
        <v>1445</v>
      </c>
      <c r="M415" s="6"/>
      <c r="N415" s="1"/>
      <c r="O415" s="1" t="str">
        <f>IFERROR(__xludf.DUMMYFUNCTION("GOOGLETRANSLATE(F415,""zh-CN"",""zh-TW"") "),"Unix 卡片遊戲，款教導孩子如何透過管道組合 UNIX 指令的紙牌遊戲。有PNP。
另外也收錄了其他程式教學的卡牌遊戲資源。")</f>
        <v>Unix 卡片遊戲，款教導孩子如何透過管道組合 UNIX 指令的紙牌遊戲。有PNP。
另外也收錄了其他程式教學的卡牌遊戲資源。</v>
      </c>
      <c r="P415" s="1"/>
      <c r="Q415" s="1"/>
      <c r="R415" s="1"/>
      <c r="S415" s="1"/>
      <c r="T415" s="1"/>
      <c r="U415" s="1"/>
      <c r="V415" s="1"/>
      <c r="W415" s="1"/>
      <c r="X415" s="1"/>
      <c r="Y415" s="1"/>
      <c r="Z415" s="1"/>
      <c r="AA415" s="1"/>
      <c r="AB415" s="1"/>
    </row>
    <row r="416" hidden="1" outlineLevel="1">
      <c r="A416" s="1" t="s">
        <v>519</v>
      </c>
      <c r="B416" s="1" t="s">
        <v>520</v>
      </c>
      <c r="C416" s="1" t="s">
        <v>1446</v>
      </c>
      <c r="D416" s="1" t="s">
        <v>1447</v>
      </c>
      <c r="E416" s="27">
        <v>45498.0</v>
      </c>
      <c r="F416" s="1" t="s">
        <v>1448</v>
      </c>
      <c r="G416" s="7" t="s">
        <v>1449</v>
      </c>
      <c r="H416" s="16"/>
      <c r="I416" s="4" t="s">
        <v>1280</v>
      </c>
      <c r="J416" s="4" t="b">
        <v>0</v>
      </c>
      <c r="K416" s="4" t="b">
        <v>0</v>
      </c>
      <c r="L416" s="1" t="s">
        <v>1450</v>
      </c>
      <c r="M416" s="6"/>
      <c r="N416" s="1" t="s">
        <v>1451</v>
      </c>
      <c r="O416" s="1" t="str">
        <f>IFERROR(__xludf.DUMMYFUNCTION("GOOGLETRANSLATE(F416,""zh-CN"",""zh-TW"") "),"Fujifilm Japan 開發了一款新的 Linux 軟件開發套件 (SDK)，用於遠端控制 Fujifilm GFX100 系列相機。無人機製造商對 Linux SDK 的添加特別感興趣，他們通常使用 Linux 操作系統進行工作。
隨著適用於 Fujifilm GFX100 相機的 Linux SDK 的出現，無人機製造商可以開發自訂相機控制軟件來滿足其特定需求。")</f>
        <v>Fujifilm Japan 開發了一款新的 Linux 軟件開發套件 (SDK)，用於遠端控制 Fujifilm GFX100 系列相機。無人機製造商對 Linux SDK 的添加特別感興趣，他們通常使用 Linux 操作系統進行工作。
隨著適用於 Fujifilm GFX100 相機的 Linux SDK 的出現，無人機製造商可以開發自訂相機控制軟件來滿足其特定需求。</v>
      </c>
      <c r="P416" s="1"/>
      <c r="Q416" s="1"/>
      <c r="R416" s="1"/>
      <c r="S416" s="1"/>
      <c r="T416" s="1"/>
      <c r="U416" s="1"/>
      <c r="V416" s="1"/>
      <c r="W416" s="1"/>
      <c r="X416" s="1"/>
      <c r="Y416" s="1"/>
      <c r="Z416" s="1"/>
      <c r="AA416" s="1"/>
      <c r="AB416" s="1"/>
    </row>
    <row r="417" collapsed="1">
      <c r="A417" s="1"/>
      <c r="B417" s="1"/>
      <c r="C417" s="1"/>
      <c r="D417" s="1"/>
      <c r="E417" s="28" t="s">
        <v>1452</v>
      </c>
      <c r="F417" s="1"/>
      <c r="G417" s="5"/>
      <c r="H417" s="16"/>
      <c r="I417" s="4"/>
      <c r="J417" s="4" t="b">
        <v>0</v>
      </c>
      <c r="K417" s="4" t="b">
        <v>0</v>
      </c>
      <c r="L417" s="1"/>
      <c r="M417" s="6"/>
      <c r="N417" s="1"/>
      <c r="O417" s="1" t="str">
        <f>IFERROR(__xludf.DUMMYFUNCTION("GOOGLETRANSLATE(F417,""zh-CN"",""zh-TW"") "),"#VALUE!")</f>
        <v>#VALUE!</v>
      </c>
      <c r="P417" s="1"/>
      <c r="Q417" s="1"/>
      <c r="R417" s="1"/>
      <c r="S417" s="1"/>
      <c r="T417" s="1"/>
      <c r="U417" s="1"/>
      <c r="V417" s="1"/>
      <c r="W417" s="1"/>
      <c r="X417" s="1"/>
      <c r="Y417" s="1"/>
      <c r="Z417" s="1"/>
      <c r="AA417" s="1"/>
      <c r="AB417" s="1"/>
    </row>
    <row r="418" hidden="1" outlineLevel="1">
      <c r="A418" s="1" t="s">
        <v>1453</v>
      </c>
      <c r="B418" s="1" t="s">
        <v>1454</v>
      </c>
      <c r="C418" s="1" t="s">
        <v>1021</v>
      </c>
      <c r="D418" s="1" t="s">
        <v>1455</v>
      </c>
      <c r="E418" s="27">
        <v>45495.0</v>
      </c>
      <c r="F418" s="17" t="s">
        <v>1456</v>
      </c>
      <c r="G418" s="7" t="s">
        <v>1457</v>
      </c>
      <c r="H418" s="9" t="s">
        <v>1458</v>
      </c>
      <c r="I418" s="4" t="s">
        <v>1286</v>
      </c>
      <c r="J418" s="4" t="b">
        <v>0</v>
      </c>
      <c r="K418" s="4" t="b">
        <v>1</v>
      </c>
      <c r="L418" s="1" t="s">
        <v>1459</v>
      </c>
      <c r="M418" s="6"/>
      <c r="N418" s="1"/>
      <c r="O418" s="1" t="str">
        <f>IFERROR(__xludf.DUMMYFUNCTION("GOOGLETRANSLATE(F418,""zh-CN"",""zh-TW"") "),"Google Jigsaw 開源 Altitude，幫助線上平台清除極端主義內容
歐洲數字服務法案(DSA) 等立法和針對恐怖主義的內容規則要求科技公司刪除平台上非法內容，但許多小型數字公司的資源不足進行此做法。
谷歌的孵化器子公司 Jigsaw (前身為Google Ideas) 開源了一款反恐工具 Altitude，旨在幫助小型公司解決透過其線上平台共享的極端主義內容。該工具可協助審核者驗證其平台上的內容是否與第三方資料庫上標記的內容匹配，而不必單獨檢查每個來源。")</f>
        <v>Google Jigsaw 開源 Altitude，幫助線上平台清除極端主義內容
歐洲數字服務法案(DSA) 等立法和針對恐怖主義的內容規則要求科技公司刪除平台上非法內容，但許多小型數字公司的資源不足進行此做法。
谷歌的孵化器子公司 Jigsaw (前身為Google Ideas) 開源了一款反恐工具 Altitude，旨在幫助小型公司解決透過其線上平台共享的極端主義內容。該工具可協助審核者驗證其平台上的內容是否與第三方資料庫上標記的內容匹配，而不必單獨檢查每個來源。</v>
      </c>
      <c r="P418" s="1"/>
      <c r="Q418" s="1"/>
      <c r="R418" s="1"/>
      <c r="S418" s="1"/>
      <c r="T418" s="1"/>
      <c r="U418" s="1"/>
      <c r="V418" s="1"/>
      <c r="W418" s="1"/>
      <c r="X418" s="1"/>
      <c r="Y418" s="1"/>
      <c r="Z418" s="1"/>
      <c r="AA418" s="1"/>
      <c r="AB418" s="1"/>
    </row>
    <row r="419" hidden="1" outlineLevel="1">
      <c r="A419" s="1" t="s">
        <v>507</v>
      </c>
      <c r="B419" s="1" t="s">
        <v>1460</v>
      </c>
      <c r="C419" s="1" t="s">
        <v>1021</v>
      </c>
      <c r="D419" s="1" t="s">
        <v>1461</v>
      </c>
      <c r="E419" s="27">
        <v>45497.0</v>
      </c>
      <c r="F419" s="1" t="s">
        <v>1462</v>
      </c>
      <c r="G419" s="7" t="s">
        <v>1463</v>
      </c>
      <c r="H419" s="9" t="s">
        <v>1464</v>
      </c>
      <c r="I419" s="4" t="s">
        <v>1286</v>
      </c>
      <c r="J419" s="4" t="b">
        <v>0</v>
      </c>
      <c r="K419" s="4" t="b">
        <v>0</v>
      </c>
      <c r="L419" s="1" t="s">
        <v>1465</v>
      </c>
      <c r="M419" s="6"/>
      <c r="N419" s="1"/>
      <c r="O419" s="1" t="str">
        <f>IFERROR(__xludf.DUMMYFUNCTION("GOOGLETRANSLATE(F419,""zh-CN"",""zh-TW"") "),"在 Microsoft、AWS 和 Meta 的支持下，Overture Maps Foundation 推出了首個開放式地圖資料集
Overture 地圖基金會於 2022 年 12 月成立，旨在對抗 Google 對線上地圖的壟斷。
-核心指導委員會也將定位技術的堅定支持者 TomTom 列為成員。其他「普通」和「貢獻者」成員包括 Esri、Hyundai、Niantic 和 Tripadvisor。主辦單位 Linux 基金會也提供了一些工程支援。
-資料來源包括: googlemap的開放資料、O"&amp;"penStreetMap、政府資料、FB/Meta地圖、Esri、微軟等企業。
- 組合資料集需要處理: 相似但用途不同的資料集如何整合、確認建築物、地址或地點的記錄與其他記錄相同")</f>
        <v>在 Microsoft、AWS 和 Meta 的支持下，Overture Maps Foundation 推出了首個開放式地圖資料集
Overture 地圖基金會於 2022 年 12 月成立，旨在對抗 Google 對線上地圖的壟斷。
-核心指導委員會也將定位技術的堅定支持者 TomTom 列為成員。其他「普通」和「貢獻者」成員包括 Esri、Hyundai、Niantic 和 Tripadvisor。主辦單位 Linux 基金會也提供了一些工程支援。
-資料來源包括: googlemap的開放資料、OpenStreetMap、政府資料、FB/Meta地圖、Esri、微軟等企業。
- 組合資料集需要處理: 相似但用途不同的資料集如何整合、確認建築物、地址或地點的記錄與其他記錄相同</v>
      </c>
      <c r="P419" s="1"/>
      <c r="Q419" s="1"/>
      <c r="R419" s="1"/>
      <c r="S419" s="1"/>
      <c r="T419" s="1"/>
      <c r="U419" s="1"/>
      <c r="V419" s="1"/>
      <c r="W419" s="1"/>
      <c r="X419" s="1"/>
      <c r="Y419" s="1"/>
      <c r="Z419" s="1"/>
      <c r="AA419" s="1"/>
      <c r="AB419" s="1"/>
    </row>
    <row r="420" hidden="1" outlineLevel="1">
      <c r="A420" s="1" t="s">
        <v>507</v>
      </c>
      <c r="B420" s="1" t="s">
        <v>1460</v>
      </c>
      <c r="C420" s="1" t="s">
        <v>1021</v>
      </c>
      <c r="D420" s="1" t="s">
        <v>1466</v>
      </c>
      <c r="E420" s="27">
        <v>45514.0</v>
      </c>
      <c r="F420" s="1" t="s">
        <v>1467</v>
      </c>
      <c r="G420" s="7" t="s">
        <v>1468</v>
      </c>
      <c r="H420" s="16"/>
      <c r="I420" s="4" t="s">
        <v>1286</v>
      </c>
      <c r="J420" s="4" t="b">
        <v>0</v>
      </c>
      <c r="K420" s="4" t="b">
        <v>0</v>
      </c>
      <c r="L420" s="1" t="s">
        <v>1469</v>
      </c>
      <c r="M420" s="6"/>
      <c r="N420" s="1"/>
      <c r="O420" s="1" t="str">
        <f>IFERROR(__xludf.DUMMYFUNCTION("GOOGLETRANSLATE(F420,""zh-CN"",""zh-TW"") "),"OpenStreetMap 已經 20 週年，擁有超過1000 萬貢獻者，繪製並微調了從街道和建築物到河流、峽谷以及構成我們的建築和自然環境的所有其他內容。亦可在野外繪製整區的地圖。
此文引用OpenStreetMap創作者與貢獻者觀點：
-創作者: OpenStreeetmap 成功地迴避了維基百科所存在的幾乎所有問題，因為它只代表事實而不是觀點。同時，也讓「位置」變成所有人都可擁有，而非被企業巨頭壟斷。
- 貢獻者: 地點是一種共享資源，當你將所有權力賦予單一實體時，你不僅賦予他們告訴你位置的權力，"&amp;"還賦予他們塑造位置的權力")</f>
        <v>OpenStreetMap 已經 20 週年，擁有超過1000 萬貢獻者，繪製並微調了從街道和建築物到河流、峽谷以及構成我們的建築和自然環境的所有其他內容。亦可在野外繪製整區的地圖。
此文引用OpenStreetMap創作者與貢獻者觀點：
-創作者: OpenStreeetmap 成功地迴避了維基百科所存在的幾乎所有問題，因為它只代表事實而不是觀點。同時，也讓「位置」變成所有人都可擁有，而非被企業巨頭壟斷。
- 貢獻者: 地點是一種共享資源，當你將所有權力賦予單一實體時，你不僅賦予他們告訴你位置的權力，還賦予他們塑造位置的權力</v>
      </c>
      <c r="P420" s="1"/>
      <c r="Q420" s="1"/>
      <c r="R420" s="1"/>
      <c r="S420" s="1"/>
      <c r="T420" s="1"/>
      <c r="U420" s="1"/>
      <c r="V420" s="1"/>
      <c r="W420" s="1"/>
      <c r="X420" s="1"/>
      <c r="Y420" s="1"/>
      <c r="Z420" s="1"/>
      <c r="AA420" s="1"/>
      <c r="AB420" s="1"/>
    </row>
    <row r="421" hidden="1" outlineLevel="1">
      <c r="A421" s="1" t="s">
        <v>519</v>
      </c>
      <c r="B421" s="1" t="s">
        <v>1470</v>
      </c>
      <c r="C421" s="1" t="s">
        <v>1471</v>
      </c>
      <c r="D421" s="1" t="s">
        <v>1472</v>
      </c>
      <c r="E421" s="27">
        <v>45523.0</v>
      </c>
      <c r="F421" s="17" t="s">
        <v>1473</v>
      </c>
      <c r="G421" s="7" t="s">
        <v>1474</v>
      </c>
      <c r="H421" s="9" t="s">
        <v>1475</v>
      </c>
      <c r="I421" s="4" t="s">
        <v>1280</v>
      </c>
      <c r="J421" s="4" t="b">
        <v>0</v>
      </c>
      <c r="K421" s="4" t="b">
        <v>1</v>
      </c>
      <c r="L421" s="1" t="s">
        <v>1476</v>
      </c>
      <c r="M421" s="6"/>
      <c r="N421" s="1" t="s">
        <v>1477</v>
      </c>
      <c r="O421" s="1" t="str">
        <f>IFERROR(__xludf.DUMMYFUNCTION("GOOGLETRANSLATE(F421,""zh-CN"",""zh-TW"") "),"OSI 發布一篇針對延遲開源發布 (DOSP）的歷史進行選擇性調查之報告。
DOSP（Delayed Open Source Publication）是先在專有授權下分發或公開部署軟件，然後隨後在開源授權下有計劃地發布該軟件原始碼的做法。
報告中提及「 專有加速，最終開源」、「贊助延遲」等概念，還有討論「 商業源碼授權條款（BUSL）」，最後引至 BUSL、AGPL 之間的替代可能性。")</f>
        <v>OSI 發布一篇針對延遲開源發布 (DOSP）的歷史進行選擇性調查之報告。
DOSP（Delayed Open Source Publication）是先在專有授權下分發或公開部署軟件，然後隨後在開源授權下有計劃地發布該軟件原始碼的做法。
報告中提及「 專有加速，最終開源」、「贊助延遲」等概念，還有討論「 商業源碼授權條款（BUSL）」，最後引至 BUSL、AGPL 之間的替代可能性。</v>
      </c>
      <c r="P421" s="1"/>
      <c r="Q421" s="1"/>
      <c r="R421" s="1"/>
      <c r="S421" s="1"/>
      <c r="T421" s="1"/>
      <c r="U421" s="1"/>
      <c r="V421" s="1"/>
      <c r="W421" s="1"/>
      <c r="X421" s="1"/>
      <c r="Y421" s="1"/>
      <c r="Z421" s="1"/>
      <c r="AA421" s="1"/>
      <c r="AB421" s="1"/>
    </row>
    <row r="422" hidden="1" outlineLevel="1">
      <c r="A422" s="1" t="s">
        <v>507</v>
      </c>
      <c r="B422" s="1" t="s">
        <v>1478</v>
      </c>
      <c r="C422" s="1" t="s">
        <v>1021</v>
      </c>
      <c r="D422" s="1" t="s">
        <v>1479</v>
      </c>
      <c r="E422" s="27">
        <v>45505.0</v>
      </c>
      <c r="F422" s="1" t="s">
        <v>1480</v>
      </c>
      <c r="G422" s="7" t="s">
        <v>1481</v>
      </c>
      <c r="H422" s="16"/>
      <c r="I422" s="4" t="s">
        <v>1286</v>
      </c>
      <c r="J422" s="4" t="b">
        <v>0</v>
      </c>
      <c r="K422" s="4" t="b">
        <v>0</v>
      </c>
      <c r="L422" s="1"/>
      <c r="M422" s="6"/>
      <c r="N422" s="1"/>
      <c r="O422" s="1" t="str">
        <f>IFERROR(__xludf.DUMMYFUNCTION("GOOGLETRANSLATE(F422,""zh-CN"",""zh-TW"") "),"美國唱片工業協會 (RIAA)最近對音樂生成新創公司 Udio 和 Suno 提起訴訟，其中 Suno 聲稱使用版權音樂訓練的 AI 模型是「合理使用」。 Suno執行長認為，根據「開放網路」上的資料訓練人工智慧模型與「孩子在聽完搖滾樂後寫自己的搖滾歌曲」並沒有什麼不同。
此文認為此訴訟的判決可能會對人工智能模型訓練與合理使用問題建立有影響力之先例。")</f>
        <v>美國唱片工業協會 (RIAA)最近對音樂生成新創公司 Udio 和 Suno 提起訴訟，其中 Suno 聲稱使用版權音樂訓練的 AI 模型是「合理使用」。 Suno執行長認為，根據「開放網路」上的資料訓練人工智慧模型與「孩子在聽完搖滾樂後寫自己的搖滾歌曲」並沒有什麼不同。
此文認為此訴訟的判決可能會對人工智能模型訓練與合理使用問題建立有影響力之先例。</v>
      </c>
      <c r="P422" s="1"/>
      <c r="Q422" s="1"/>
      <c r="R422" s="1"/>
      <c r="S422" s="1"/>
      <c r="T422" s="1"/>
      <c r="U422" s="1"/>
      <c r="V422" s="1"/>
      <c r="W422" s="1"/>
      <c r="X422" s="1"/>
      <c r="Y422" s="1"/>
      <c r="Z422" s="1"/>
      <c r="AA422" s="1"/>
      <c r="AB422" s="1"/>
    </row>
    <row r="423" hidden="1" outlineLevel="1">
      <c r="A423" s="1" t="s">
        <v>507</v>
      </c>
      <c r="B423" s="1" t="s">
        <v>1482</v>
      </c>
      <c r="C423" s="1" t="s">
        <v>1483</v>
      </c>
      <c r="D423" s="1" t="s">
        <v>1484</v>
      </c>
      <c r="E423" s="27">
        <v>45419.0</v>
      </c>
      <c r="F423" s="17" t="s">
        <v>1485</v>
      </c>
      <c r="G423" s="7" t="s">
        <v>1486</v>
      </c>
      <c r="H423" s="16"/>
      <c r="I423" s="4" t="s">
        <v>1280</v>
      </c>
      <c r="J423" s="4" t="b">
        <v>0</v>
      </c>
      <c r="K423" s="4" t="b">
        <v>1</v>
      </c>
      <c r="L423" s="1" t="s">
        <v>1487</v>
      </c>
      <c r="M423" s="6"/>
      <c r="N423" s="1"/>
      <c r="O423" s="1" t="str">
        <f>IFERROR(__xludf.DUMMYFUNCTION("GOOGLETRANSLATE(F423,""zh-CN"",""zh-TW"") "),"D&amp;D 將以 CC-BY-4.0 釋放 2024 版規則手冊。
過去幾年發行方試圖緊縮既有 OGL（Open Gaming License）。經玩家抗爭後，發行方道歉並承諾不會緊縮授權。今年的釋出更以 CC-BY 釋出。")</f>
        <v>D&amp;D 將以 CC-BY-4.0 釋放 2024 版規則手冊。
過去幾年發行方試圖緊縮既有 OGL（Open Gaming License）。經玩家抗爭後，發行方道歉並承諾不會緊縮授權。今年的釋出更以 CC-BY 釋出。</v>
      </c>
      <c r="P423" s="1"/>
      <c r="Q423" s="1"/>
      <c r="R423" s="1"/>
      <c r="S423" s="1"/>
      <c r="T423" s="1"/>
      <c r="U423" s="1"/>
      <c r="V423" s="1"/>
      <c r="W423" s="1"/>
      <c r="X423" s="1"/>
      <c r="Y423" s="1"/>
      <c r="Z423" s="1"/>
      <c r="AA423" s="1"/>
      <c r="AB423" s="1"/>
    </row>
    <row r="424" hidden="1" outlineLevel="1">
      <c r="A424" s="78" t="s">
        <v>519</v>
      </c>
      <c r="B424" s="89" t="s">
        <v>1488</v>
      </c>
      <c r="C424" s="75" t="s">
        <v>1489</v>
      </c>
      <c r="D424" s="75" t="s">
        <v>1490</v>
      </c>
      <c r="E424" s="27">
        <v>45534.0</v>
      </c>
      <c r="F424" s="90" t="s">
        <v>1491</v>
      </c>
      <c r="G424" s="77" t="s">
        <v>1492</v>
      </c>
      <c r="H424" s="78"/>
      <c r="I424" s="78" t="s">
        <v>1305</v>
      </c>
      <c r="J424" s="91" t="b">
        <v>0</v>
      </c>
      <c r="K424" s="91" t="b">
        <v>1</v>
      </c>
      <c r="L424" s="1" t="s">
        <v>1493</v>
      </c>
      <c r="M424" s="6"/>
      <c r="N424" s="1"/>
      <c r="O424" s="1" t="str">
        <f>IFERROR(__xludf.DUMMYFUNCTION("GOOGLETRANSLATE(F424,""zh-CN"",""zh-TW"") "),"Elasticsearch 再次回歸開源，新增了 AGPL 授權，與現有的 ELv2 和 SSPL 授權並列。 Elastic 創始人 Shay Banon 解釋 Elastic 從未放棄開源社區，但由於 AWS 對 Elasticsearch 的使用造成的市場混亂，授權設下更多限制是必要的。現在，市場混亂已經基本解決，而 Amazon 投資於自己的分叉，Elastic 再次擁抱開源。選擇 AGPL，Elastic 希望支援開源生態系統，並使用 OSI 認證的開源授權。")</f>
        <v>Elasticsearch 再次回歸開源，新增了 AGPL 授權，與現有的 ELv2 和 SSPL 授權並列。 Elastic 創始人 Shay Banon 解釋 Elastic 從未放棄開源社區，但由於 AWS 對 Elasticsearch 的使用造成的市場混亂，授權設下更多限制是必要的。現在，市場混亂已經基本解決，而 Amazon 投資於自己的分叉，Elastic 再次擁抱開源。選擇 AGPL，Elastic 希望支援開源生態系統，並使用 OSI 認證的開源授權。</v>
      </c>
      <c r="P424" s="1"/>
      <c r="Q424" s="1"/>
      <c r="R424" s="1"/>
      <c r="S424" s="1"/>
      <c r="T424" s="1"/>
      <c r="U424" s="1"/>
      <c r="V424" s="1"/>
      <c r="W424" s="1"/>
      <c r="X424" s="1"/>
      <c r="Y424" s="1"/>
      <c r="Z424" s="1"/>
      <c r="AA424" s="1"/>
      <c r="AB424" s="1"/>
    </row>
    <row r="425" hidden="1" outlineLevel="1">
      <c r="A425" s="78" t="s">
        <v>519</v>
      </c>
      <c r="B425" s="75" t="s">
        <v>599</v>
      </c>
      <c r="C425" s="75" t="s">
        <v>1494</v>
      </c>
      <c r="D425" s="75" t="s">
        <v>1495</v>
      </c>
      <c r="E425" s="27">
        <v>45534.0</v>
      </c>
      <c r="F425" s="92" t="s">
        <v>1496</v>
      </c>
      <c r="G425" s="77" t="s">
        <v>1497</v>
      </c>
      <c r="H425" s="78"/>
      <c r="I425" s="78" t="s">
        <v>1305</v>
      </c>
      <c r="J425" s="93" t="b">
        <v>0</v>
      </c>
      <c r="K425" s="91" t="b">
        <v>1</v>
      </c>
      <c r="L425" s="1"/>
      <c r="M425" s="6"/>
      <c r="N425" s="1" t="s">
        <v>1498</v>
      </c>
      <c r="O425" s="1" t="str">
        <f>IFERROR(__xludf.DUMMYFUNCTION("GOOGLETRANSLATE(F425,""zh-CN"",""zh-TW"") "),"企業 Val Town 強調其對開源軟件的依賴，並宣佈參與「開源承諾」，致力於為其依賴的各類開源項目提供資金支持。 2024 年他們已經捐贈 9,600 美元，超過每位全職員工每年 2,000 美元的目標。捐款對象包括 esm.sh、Fastify、CodeMirror 等項目。他們的貢獻展現了持續支持開源生態系統的努力，這些系統是其技術框架的基礎。")</f>
        <v>企業 Val Town 強調其對開源軟件的依賴，並宣佈參與「開源承諾」，致力於為其依賴的各類開源項目提供資金支持。 2024 年他們已經捐贈 9,600 美元，超過每位全職員工每年 2,000 美元的目標。捐款對象包括 esm.sh、Fastify、CodeMirror 等項目。他們的貢獻展現了持續支持開源生態系統的努力，這些系統是其技術框架的基礎。</v>
      </c>
      <c r="P425" s="1"/>
      <c r="Q425" s="1"/>
      <c r="R425" s="1"/>
      <c r="S425" s="1"/>
      <c r="T425" s="1"/>
      <c r="U425" s="1"/>
      <c r="V425" s="1"/>
      <c r="W425" s="1"/>
      <c r="X425" s="1"/>
      <c r="Y425" s="1"/>
      <c r="Z425" s="1"/>
      <c r="AA425" s="1"/>
      <c r="AB425" s="1"/>
    </row>
    <row r="426" hidden="1" outlineLevel="1">
      <c r="A426" s="78" t="s">
        <v>519</v>
      </c>
      <c r="B426" s="75" t="s">
        <v>1499</v>
      </c>
      <c r="C426" s="75" t="s">
        <v>1500</v>
      </c>
      <c r="D426" s="75" t="s">
        <v>1501</v>
      </c>
      <c r="E426" s="27">
        <v>45538.0</v>
      </c>
      <c r="F426" s="75" t="s">
        <v>1502</v>
      </c>
      <c r="G426" s="77" t="s">
        <v>1503</v>
      </c>
      <c r="H426" s="78"/>
      <c r="I426" s="78" t="s">
        <v>1305</v>
      </c>
      <c r="J426" s="93" t="b">
        <v>0</v>
      </c>
      <c r="K426" s="93" t="b">
        <v>0</v>
      </c>
      <c r="L426" s="1"/>
      <c r="M426" s="6"/>
      <c r="N426" s="1"/>
      <c r="O426" s="1" t="str">
        <f>IFERROR(__xludf.DUMMYFUNCTION("GOOGLETRANSLATE(F426,""zh-CN"",""zh-TW"") "),"Dunya Kirkali 和 Maxim Schepelin 記錄他們透過開源工具寫書的旅程，重點是使用開源工具來優化寫作過程。他們最初拒絕使用 Microsoft Word，嘗試了 Google Docs 和 Markdown，但最終選擇了 Asciidoc，因其簡單性和高級功能。他們還開發了一個名為 Letterpress 的開源工具，幫助其他人自出版，提供產生 PDF 和 EPUB 的自動化設定。文章強調開源工具在使寫書更易於接觸和高效方面的價值。")</f>
        <v>Dunya Kirkali 和 Maxim Schepelin 記錄他們透過開源工具寫書的旅程，重點是使用開源工具來優化寫作過程。他們最初拒絕使用 Microsoft Word，嘗試了 Google Docs 和 Markdown，但最終選擇了 Asciidoc，因其簡單性和高級功能。他們還開發了一個名為 Letterpress 的開源工具，幫助其他人自出版，提供產生 PDF 和 EPUB 的自動化設定。文章強調開源工具在使寫書更易於接觸和高效方面的價值。</v>
      </c>
      <c r="P426" s="1"/>
      <c r="Q426" s="1"/>
      <c r="R426" s="1"/>
      <c r="S426" s="1"/>
      <c r="T426" s="1"/>
      <c r="U426" s="1"/>
      <c r="V426" s="1"/>
      <c r="W426" s="1"/>
      <c r="X426" s="1"/>
      <c r="Y426" s="1"/>
      <c r="Z426" s="1"/>
      <c r="AA426" s="1"/>
      <c r="AB426" s="1"/>
    </row>
    <row r="427" hidden="1" outlineLevel="1">
      <c r="A427" s="1" t="s">
        <v>519</v>
      </c>
      <c r="B427" s="1" t="s">
        <v>537</v>
      </c>
      <c r="C427" s="1" t="s">
        <v>1072</v>
      </c>
      <c r="D427" s="1" t="s">
        <v>1504</v>
      </c>
      <c r="E427" s="27">
        <v>45531.0</v>
      </c>
      <c r="F427" s="17" t="s">
        <v>1505</v>
      </c>
      <c r="G427" s="7" t="s">
        <v>1506</v>
      </c>
      <c r="H427" s="16"/>
      <c r="I427" s="4" t="s">
        <v>1280</v>
      </c>
      <c r="J427" s="4" t="b">
        <v>0</v>
      </c>
      <c r="K427" s="4" t="b">
        <v>0</v>
      </c>
      <c r="L427" s="1"/>
      <c r="M427" s="6"/>
      <c r="N427" s="1"/>
      <c r="O427" s="1" t="str">
        <f>IFERROR(__xludf.DUMMYFUNCTION("GOOGLETRANSLATE(F427,""zh-CN"",""zh-TW"") "),"作者提出他認為為何開源貢獻者日益減少的原因。過去軟件工程師 CP 值高，可以短暫換取高報酬，因此有多餘時間投入開源開發。但目前產業環境改變如下：
- 高利率時代導致進入軟件產業的資金減少
- 減少對非“AI”軟件的投資
- 新冠疫情成長回歸平均水平，引發對科技業成長的重新評估
- 裁員風潮
- OSS 倦怠
- 多年的高 CP 值讓投資人考慮減少給工程師的薪水")</f>
        <v>作者提出他認為為何開源貢獻者日益減少的原因。過去軟件工程師 CP 值高，可以短暫換取高報酬，因此有多餘時間投入開源開發。但目前產業環境改變如下：
- 高利率時代導致進入軟件產業的資金減少
- 減少對非“AI”軟件的投資
- 新冠疫情成長回歸平均水平，引發對科技業成長的重新評估
- 裁員風潮
- OSS 倦怠
- 多年的高 CP 值讓投資人考慮減少給工程師的薪水</v>
      </c>
      <c r="P427" s="1"/>
      <c r="Q427" s="1"/>
      <c r="R427" s="1"/>
      <c r="S427" s="1"/>
      <c r="T427" s="1"/>
      <c r="U427" s="1"/>
      <c r="V427" s="1"/>
      <c r="W427" s="1"/>
      <c r="X427" s="1"/>
      <c r="Y427" s="1"/>
      <c r="Z427" s="1"/>
      <c r="AA427" s="1"/>
      <c r="AB427" s="1"/>
    </row>
    <row r="428" collapsed="1">
      <c r="A428" s="1"/>
      <c r="B428" s="1"/>
      <c r="C428" s="1"/>
      <c r="D428" s="1"/>
      <c r="E428" s="94" t="s">
        <v>1507</v>
      </c>
      <c r="F428" s="1"/>
      <c r="G428" s="5"/>
      <c r="H428" s="16"/>
      <c r="I428" s="4"/>
      <c r="J428" s="4" t="b">
        <v>0</v>
      </c>
      <c r="K428" s="4" t="b">
        <v>0</v>
      </c>
      <c r="L428" s="1"/>
      <c r="M428" s="6"/>
      <c r="N428" s="1"/>
      <c r="O428" s="1" t="str">
        <f>IFERROR(__xludf.DUMMYFUNCTION("GOOGLETRANSLATE(F428,""zh-CN"",""zh-TW"") "),"#VALUE!")</f>
        <v>#VALUE!</v>
      </c>
      <c r="P428" s="1"/>
      <c r="Q428" s="1"/>
      <c r="R428" s="1"/>
      <c r="S428" s="1"/>
      <c r="T428" s="1"/>
      <c r="U428" s="1"/>
      <c r="V428" s="1"/>
      <c r="W428" s="1"/>
      <c r="X428" s="1"/>
      <c r="Y428" s="1"/>
      <c r="Z428" s="1"/>
      <c r="AA428" s="1"/>
      <c r="AB428" s="1"/>
    </row>
    <row r="429" hidden="1" outlineLevel="1">
      <c r="A429" s="1" t="s">
        <v>519</v>
      </c>
      <c r="B429" s="1" t="s">
        <v>809</v>
      </c>
      <c r="C429" s="1" t="s">
        <v>1508</v>
      </c>
      <c r="D429" s="1" t="s">
        <v>1509</v>
      </c>
      <c r="E429" s="58">
        <v>45513.0</v>
      </c>
      <c r="F429" s="17" t="s">
        <v>1510</v>
      </c>
      <c r="G429" s="7" t="s">
        <v>1511</v>
      </c>
      <c r="H429" s="16"/>
      <c r="I429" s="4" t="s">
        <v>1305</v>
      </c>
      <c r="J429" s="4" t="b">
        <v>0</v>
      </c>
      <c r="K429" s="4" t="b">
        <v>0</v>
      </c>
      <c r="L429" s="1" t="s">
        <v>1512</v>
      </c>
      <c r="M429" s="6"/>
      <c r="N429" s="7" t="s">
        <v>1513</v>
      </c>
      <c r="O429" s="1" t="str">
        <f>IFERROR(__xludf.DUMMYFUNCTION("GOOGLETRANSLATE(F429,""zh-CN"",""zh-TW"") "),"開源是一種可以整合到企業策略中的軟件分發模式。文章說企業開源的目的是擴大市場潛力並降低客戶的風險，不只是基於社群驅動的理念。
作者認為開源授權決定了產品的包裝營銷，影響公司在鼓勵程序廣泛擴散的同時保留控制權。同時維持商業價值與開源授權，對於創造使用者和貢獻者雙方的互利結果非常關鍵，正如 Fair Source（一種 DOSP 授權）所呈現的樣子，在可近用性與商業利益的護城河之間找到平衡。
這篇文章鼓勵軟件公司考慮更靈活的授權條款，他們在不完全符合傳統開源意識形態的情況下，同時滿足商業目標和使用者的軟件"&amp;"自由。")</f>
        <v>開源是一種可以整合到企業策略中的軟件分發模式。文章說企業開源的目的是擴大市場潛力並降低客戶的風險，不只是基於社群驅動的理念。
作者認為開源授權決定了產品的包裝營銷，影響公司在鼓勵程序廣泛擴散的同時保留控制權。同時維持商業價值與開源授權，對於創造使用者和貢獻者雙方的互利結果非常關鍵，正如 Fair Source（一種 DOSP 授權）所呈現的樣子，在可近用性與商業利益的護城河之間找到平衡。
這篇文章鼓勵軟件公司考慮更靈活的授權條款，他們在不完全符合傳統開源意識形態的情況下，同時滿足商業目標和使用者的軟件自由。</v>
      </c>
      <c r="P429" s="1"/>
      <c r="Q429" s="1"/>
      <c r="R429" s="1"/>
      <c r="S429" s="1"/>
      <c r="T429" s="1"/>
      <c r="U429" s="1"/>
      <c r="V429" s="1"/>
      <c r="W429" s="1"/>
      <c r="X429" s="1"/>
      <c r="Y429" s="1"/>
      <c r="Z429" s="1"/>
      <c r="AA429" s="1"/>
      <c r="AB429" s="1"/>
    </row>
    <row r="430" hidden="1" outlineLevel="1">
      <c r="A430" s="1" t="s">
        <v>1320</v>
      </c>
      <c r="B430" s="1" t="s">
        <v>599</v>
      </c>
      <c r="C430" s="1" t="s">
        <v>1514</v>
      </c>
      <c r="D430" s="1" t="s">
        <v>1515</v>
      </c>
      <c r="E430" s="27">
        <v>45505.0</v>
      </c>
      <c r="F430" s="1" t="s">
        <v>1516</v>
      </c>
      <c r="G430" s="7" t="s">
        <v>1517</v>
      </c>
      <c r="H430" s="16"/>
      <c r="I430" s="4" t="s">
        <v>1286</v>
      </c>
      <c r="J430" s="4" t="b">
        <v>0</v>
      </c>
      <c r="K430" s="4" t="b">
        <v>0</v>
      </c>
      <c r="L430" s="1" t="s">
        <v>1518</v>
      </c>
      <c r="M430" s="6"/>
      <c r="N430" s="1"/>
      <c r="O430" s="1" t="str">
        <f>IFERROR(__xludf.DUMMYFUNCTION("GOOGLETRANSLATE(F430,""zh-CN"",""zh-TW"") "),"開放知識基金會團隊與非洲法語國家的開放知識網絡成員交談。
——開放資料對非洲公民社會來說是一個相對較新的概念，尤其在獨裁政權反對透明的情況下有更多挑戰。
－一個國家的民主狀況與其促進透明度和開放資料的方式之間有相關性，在某些國家只是要了解公共支出的費用就有可能被安上違反國家安全罪名。
－為開放知識計畫找到資金非常困難，捐助者對此區域興趣不高。
——開放知識主要語言是英文，目前還在努力開發法語文件或技術支持，因語言而導致推廣困難。
——開放資料是促進民主、減少腐敗的一種方式，目前發現可行策略是為已經進行中的"&amp;"計劃提供資金，打造計劃可行與有效性。
－非洲開放知識相關活動不多，布基納法索已有一些作法，等數個國家較為活躍，但中非幾乎無活動。")</f>
        <v>開放知識基金會團隊與非洲法語國家的開放知識網絡成員交談。
——開放資料對非洲公民社會來說是一個相對較新的概念，尤其在獨裁政權反對透明的情況下有更多挑戰。
－一個國家的民主狀況與其促進透明度和開放資料的方式之間有相關性，在某些國家只是要了解公共支出的費用就有可能被安上違反國家安全罪名。
－為開放知識計畫找到資金非常困難，捐助者對此區域興趣不高。
——開放知識主要語言是英文，目前還在努力開發法語文件或技術支持，因語言而導致推廣困難。
——開放資料是促進民主、減少腐敗的一種方式，目前發現可行策略是為已經進行中的計劃提供資金，打造計劃可行與有效性。
－非洲開放知識相關活動不多，布基納法索已有一些作法，等數個國家較為活躍，但中非幾乎無活動。</v>
      </c>
      <c r="P430" s="1"/>
      <c r="Q430" s="1"/>
      <c r="R430" s="1"/>
      <c r="S430" s="1"/>
      <c r="T430" s="1"/>
      <c r="U430" s="1"/>
      <c r="V430" s="1"/>
      <c r="W430" s="1"/>
      <c r="X430" s="1"/>
      <c r="Y430" s="1"/>
      <c r="Z430" s="1"/>
      <c r="AA430" s="1"/>
      <c r="AB430" s="1"/>
    </row>
    <row r="431" hidden="1" outlineLevel="1">
      <c r="A431" s="1" t="s">
        <v>519</v>
      </c>
      <c r="B431" s="1" t="s">
        <v>520</v>
      </c>
      <c r="C431" s="1" t="s">
        <v>1072</v>
      </c>
      <c r="D431" s="1" t="s">
        <v>1519</v>
      </c>
      <c r="E431" s="27">
        <v>45568.0</v>
      </c>
      <c r="F431" s="1" t="s">
        <v>1520</v>
      </c>
      <c r="G431" s="7" t="s">
        <v>1521</v>
      </c>
      <c r="H431" s="16"/>
      <c r="I431" s="4" t="s">
        <v>1280</v>
      </c>
      <c r="J431" s="4" t="b">
        <v>0</v>
      </c>
      <c r="K431" s="4" t="b">
        <v>0</v>
      </c>
      <c r="L431" s="1" t="s">
        <v>1522</v>
      </c>
      <c r="M431" s="6"/>
      <c r="N431" s="1" t="s">
        <v>1523</v>
      </c>
      <c r="O431" s="1" t="str">
        <f>IFERROR(__xludf.DUMMYFUNCTION("GOOGLETRANSLATE(F431,""zh-CN"",""zh-TW"") "),"作者為 IT 從業者，偏好用 BSD 而非使用 Linux。文中有許多個人觀察。
- Linux 在過去幾年中取得了重大發展，但這已經轉向特定參與者的興趣（主要是雲端提供者），而不是技術原因。
- 許多 Linux 發行版和社群專注於“以新換舊”，但有時似乎沒有實際好處。
- 圍繞 Linux 的龐大業務已經發展起來：認證、培訓、滲透測試、認證平台——社群正在失去決策權。這與早期的情況相去甚遠。
- 現今的Linux 受到許多合規性要求的約束。
- 根據作者的經驗，轉向 BSD 意味著獲得更穩定、更容易升"&amp;"級、各部分更一致的系統。他們不追逐當下的炒作，就像早期的 Linux 一樣。
- 作者管理的 78% 的虛擬機器管理程序在 FreeBSD 上運行，66% 的工作負載在其中一個 BSD 上運行。沒有一個客戶遇到重大問題。沒有人抱怨性能或可靠性。所有回饋都是正面的。")</f>
        <v>作者為 IT 從業者，偏好用 BSD 而非使用 Linux。文中有許多個人觀察。
- Linux 在過去幾年中取得了重大發展，但這已經轉向特定參與者的興趣（主要是雲端提供者），而不是技術原因。
- 許多 Linux 發行版和社群專注於“以新換舊”，但有時似乎沒有實際好處。
- 圍繞 Linux 的龐大業務已經發展起來：認證、培訓、滲透測試、認證平台——社群正在失去決策權。這與早期的情況相去甚遠。
- 現今的Linux 受到許多合規性要求的約束。
- 根據作者的經驗，轉向 BSD 意味著獲得更穩定、更容易升級、各部分更一致的系統。他們不追逐當下的炒作，就像早期的 Linux 一樣。
- 作者管理的 78% 的虛擬機器管理程序在 FreeBSD 上運行，66% 的工作負載在其中一個 BSD 上運行。沒有一個客戶遇到重大問題。沒有人抱怨性能或可靠性。所有回饋都是正面的。</v>
      </c>
      <c r="P431" s="1"/>
      <c r="Q431" s="1"/>
      <c r="R431" s="1"/>
      <c r="S431" s="1"/>
      <c r="T431" s="1"/>
      <c r="U431" s="1"/>
      <c r="V431" s="1"/>
      <c r="W431" s="1"/>
      <c r="X431" s="1"/>
      <c r="Y431" s="1"/>
      <c r="Z431" s="1"/>
      <c r="AA431" s="1"/>
      <c r="AB431" s="1"/>
    </row>
    <row r="432" hidden="1" outlineLevel="1">
      <c r="A432" s="1" t="s">
        <v>519</v>
      </c>
      <c r="B432" s="1" t="s">
        <v>1089</v>
      </c>
      <c r="C432" s="1" t="s">
        <v>1524</v>
      </c>
      <c r="D432" s="1" t="s">
        <v>1525</v>
      </c>
      <c r="E432" s="27">
        <v>45544.0</v>
      </c>
      <c r="F432" s="1" t="s">
        <v>1526</v>
      </c>
      <c r="G432" s="7" t="s">
        <v>1527</v>
      </c>
      <c r="H432" s="16" t="s">
        <v>1528</v>
      </c>
      <c r="I432" s="4" t="s">
        <v>1305</v>
      </c>
      <c r="J432" s="4" t="b">
        <v>0</v>
      </c>
      <c r="K432" s="4" t="b">
        <v>0</v>
      </c>
      <c r="L432" s="1"/>
      <c r="M432" s="6"/>
      <c r="N432" s="1"/>
      <c r="O432" s="1" t="str">
        <f>IFERROR(__xludf.DUMMYFUNCTION("GOOGLETRANSLATE(F432,""zh-CN"",""zh-TW"") "),"這個討論串在研究是否應該將一個授權服務器套件開源，大家各有立場：
- 開源的好處：開源可能會暴露漏洞，但也會有社群的回饋和貢獻，特別是在安全性改進方面。許多參與者認為，開源能夠增加系統的透明度，讓使用者更信任它。
- 開源的缺點：有人擔心開源可能會讓駭客找到濫用的漏洞。有人建議可以進行分階段發布，或是與研究人員進行內部測試再全面開源。
- 開源成功案例：有些成功案例例如 Keygen.sh，其開源後吸引了社群貢獻，並最終在企業市場取得成功。")</f>
        <v>這個討論串在研究是否應該將一個授權服務器套件開源，大家各有立場：
- 開源的好處：開源可能會暴露漏洞，但也會有社群的回饋和貢獻，特別是在安全性改進方面。許多參與者認為，開源能夠增加系統的透明度，讓使用者更信任它。
- 開源的缺點：有人擔心開源可能會讓駭客找到濫用的漏洞。有人建議可以進行分階段發布，或是與研究人員進行內部測試再全面開源。
- 開源成功案例：有些成功案例例如 Keygen.sh，其開源後吸引了社群貢獻，並最終在企業市場取得成功。</v>
      </c>
      <c r="P432" s="1"/>
      <c r="Q432" s="1"/>
      <c r="R432" s="1"/>
      <c r="S432" s="1"/>
      <c r="T432" s="1"/>
      <c r="U432" s="1"/>
      <c r="V432" s="1"/>
      <c r="W432" s="1"/>
      <c r="X432" s="1"/>
      <c r="Y432" s="1"/>
      <c r="Z432" s="1"/>
      <c r="AA432" s="1"/>
      <c r="AB432" s="1"/>
    </row>
    <row r="433" hidden="1" outlineLevel="1">
      <c r="A433" s="1" t="s">
        <v>519</v>
      </c>
      <c r="B433" s="1" t="s">
        <v>599</v>
      </c>
      <c r="C433" s="1" t="s">
        <v>1529</v>
      </c>
      <c r="D433" s="1" t="s">
        <v>1530</v>
      </c>
      <c r="E433" s="27">
        <v>45566.0</v>
      </c>
      <c r="F433" s="17" t="s">
        <v>1531</v>
      </c>
      <c r="G433" s="7" t="s">
        <v>1532</v>
      </c>
      <c r="H433" s="16"/>
      <c r="I433" s="4" t="s">
        <v>1280</v>
      </c>
      <c r="J433" s="4" t="b">
        <v>0</v>
      </c>
      <c r="K433" s="4" t="b">
        <v>0</v>
      </c>
      <c r="L433" s="1" t="s">
        <v>1533</v>
      </c>
      <c r="M433" s="6"/>
      <c r="N433" s="7" t="s">
        <v>1534</v>
      </c>
      <c r="O433" s="1" t="str">
        <f>IFERROR(__xludf.DUMMYFUNCTION("GOOGLETRANSLATE(F433,""zh-CN"",""zh-TW"") "),"F-Droid：Android開源應用商店，Google Play替代方案。
- Google Play 主導 Android 應用分發，控制開發者
- Android 預設 Google Play，用戶可能不知其他選擇
- Google Play 不允許第三方應用商店分發，在上面找不到 F-droid
- 非 Google Play 應用程式安裝會觸發警告
- Google Play 強制更新 API 等級，可能導致軟件不必要耗能，或舊軟件下架
- 作者將 F-Droid 視為擺脫 Google Pla"&amp;"y 束縛的機會")</f>
        <v>F-Droid：Android開源應用商店，Google Play替代方案。
- Google Play 主導 Android 應用分發，控制開發者
- Android 預設 Google Play，用戶可能不知其他選擇
- Google Play 不允許第三方應用商店分發，在上面找不到 F-droid
- 非 Google Play 應用程式安裝會觸發警告
- Google Play 強制更新 API 等級，可能導致軟件不必要耗能，或舊軟件下架
- 作者將 F-Droid 視為擺脫 Google Play 束縛的機會</v>
      </c>
      <c r="P433" s="1"/>
      <c r="Q433" s="1"/>
      <c r="R433" s="1"/>
      <c r="S433" s="1"/>
      <c r="T433" s="1"/>
      <c r="U433" s="1"/>
      <c r="V433" s="1"/>
      <c r="W433" s="1"/>
      <c r="X433" s="1"/>
      <c r="Y433" s="1"/>
      <c r="Z433" s="1"/>
      <c r="AA433" s="1"/>
      <c r="AB433" s="1"/>
    </row>
    <row r="434" hidden="1" outlineLevel="1">
      <c r="A434" s="1" t="s">
        <v>1432</v>
      </c>
      <c r="B434" s="1" t="s">
        <v>746</v>
      </c>
      <c r="C434" s="1" t="s">
        <v>1535</v>
      </c>
      <c r="D434" s="1" t="s">
        <v>1536</v>
      </c>
      <c r="E434" s="27">
        <v>45518.0</v>
      </c>
      <c r="F434" s="1" t="s">
        <v>1537</v>
      </c>
      <c r="G434" s="7" t="s">
        <v>1538</v>
      </c>
      <c r="H434" s="16"/>
      <c r="I434" s="4" t="s">
        <v>1286</v>
      </c>
      <c r="J434" s="4" t="b">
        <v>0</v>
      </c>
      <c r="K434" s="4" t="b">
        <v>0</v>
      </c>
      <c r="L434" s="1" t="s">
        <v>1539</v>
      </c>
      <c r="M434" s="6"/>
      <c r="N434" s="1"/>
      <c r="O434" s="1" t="str">
        <f>IFERROR(__xludf.DUMMYFUNCTION("GOOGLETRANSLATE(F434,""zh-CN"",""zh-TW"") "),"歐盟關於醫療資料的新法規威脅隱私和安全
歐洲議會最近通過了歐洲健康資料空間 (EHDS) 立法和人類來源物質 (SoHO) 法規。 EHDS 旨在透過集中和標準化各成員國的醫療數據來徹底改變醫療保健服務，從而促進患者記錄的訪問並實現無縫跨境醫療保健。理論上，這與旨在確保醫療程序中使用的物質的安全和品質的 SoHO 法規相結合，可能預示著歐盟醫療保健效率和安全的新時代。
然而，批判性地審查資料收集的範圍以及對資料隱私和個人自由的潛在影響至關重要。必須精心平衡追求公共衛生利益和保護公民隱私權之間的平衡，以"&amp;"防止當局可能越權並保障基本自由。")</f>
        <v>歐盟關於醫療資料的新法規威脅隱私和安全
歐洲議會最近通過了歐洲健康資料空間 (EHDS) 立法和人類來源物質 (SoHO) 法規。 EHDS 旨在透過集中和標準化各成員國的醫療數據來徹底改變醫療保健服務，從而促進患者記錄的訪問並實現無縫跨境醫療保健。理論上，這與旨在確保醫療程序中使用的物質的安全和品質的 SoHO 法規相結合，可能預示著歐盟醫療保健效率和安全的新時代。
然而，批判性地審查資料收集的範圍以及對資料隱私和個人自由的潛在影響至關重要。必須精心平衡追求公共衛生利益和保護公民隱私權之間的平衡，以防止當局可能越權並保障基本自由。</v>
      </c>
      <c r="P434" s="1"/>
      <c r="Q434" s="1"/>
      <c r="R434" s="1"/>
      <c r="S434" s="1"/>
      <c r="T434" s="1"/>
      <c r="U434" s="1"/>
      <c r="V434" s="1"/>
      <c r="W434" s="1"/>
      <c r="X434" s="1"/>
      <c r="Y434" s="1"/>
      <c r="Z434" s="1"/>
      <c r="AA434" s="1"/>
      <c r="AB434" s="1"/>
    </row>
    <row r="435" hidden="1" outlineLevel="1">
      <c r="A435" s="1" t="s">
        <v>1540</v>
      </c>
      <c r="B435" s="1" t="s">
        <v>1089</v>
      </c>
      <c r="C435" s="1" t="s">
        <v>1541</v>
      </c>
      <c r="D435" s="1" t="s">
        <v>1542</v>
      </c>
      <c r="E435" s="27">
        <v>45562.0</v>
      </c>
      <c r="F435" s="1" t="s">
        <v>1543</v>
      </c>
      <c r="G435" s="7" t="s">
        <v>1544</v>
      </c>
      <c r="H435" s="16"/>
      <c r="I435" s="4" t="s">
        <v>1280</v>
      </c>
      <c r="J435" s="4" t="b">
        <v>0</v>
      </c>
      <c r="K435" s="4" t="b">
        <v>0</v>
      </c>
      <c r="L435" s="1" t="s">
        <v>1545</v>
      </c>
      <c r="M435" s="6"/>
      <c r="N435" s="1" t="s">
        <v>1546</v>
      </c>
      <c r="O435" s="1" t="str">
        <f>IFERROR(__xludf.DUMMYFUNCTION("GOOGLETRANSLATE(F435,""zh-CN"",""zh-TW"") "),"愛爾蘭資料保護委員會 (DPC) 在結束對 2019 年安全漏洞的調查後對 Meta 處以 9,100 萬歐元的罰款。該公司錯誤地以純文字形式儲存用戶密碼。
內部消息透露該事件涉及多達 6 億個密碼。部分密碼以易於讀取的格式儲存在該公司的服務器中。 超過20,000 名Facebook 員工也可以搜尋這些密碼。")</f>
        <v>愛爾蘭資料保護委員會 (DPC) 在結束對 2019 年安全漏洞的調查後對 Meta 處以 9,100 萬歐元的罰款。該公司錯誤地以純文字形式儲存用戶密碼。
內部消息透露該事件涉及多達 6 億個密碼。部分密碼以易於讀取的格式儲存在該公司的服務器中。 超過20,000 名Facebook 員工也可以搜尋這些密碼。</v>
      </c>
      <c r="P435" s="1"/>
      <c r="Q435" s="1"/>
      <c r="R435" s="1"/>
      <c r="S435" s="1"/>
      <c r="T435" s="1"/>
      <c r="U435" s="1"/>
      <c r="V435" s="1"/>
      <c r="W435" s="1"/>
      <c r="X435" s="1"/>
      <c r="Y435" s="1"/>
      <c r="Z435" s="1"/>
      <c r="AA435" s="1"/>
      <c r="AB435" s="1"/>
    </row>
    <row r="436" hidden="1" outlineLevel="1">
      <c r="A436" s="95" t="s">
        <v>1547</v>
      </c>
      <c r="B436" s="95" t="s">
        <v>529</v>
      </c>
      <c r="C436" s="95" t="s">
        <v>1548</v>
      </c>
      <c r="D436" s="95" t="s">
        <v>1549</v>
      </c>
      <c r="E436" s="96">
        <v>45518.0</v>
      </c>
      <c r="F436" s="95" t="s">
        <v>1550</v>
      </c>
      <c r="G436" s="97" t="s">
        <v>1551</v>
      </c>
      <c r="H436" s="98" t="s">
        <v>1552</v>
      </c>
      <c r="I436" s="99" t="s">
        <v>1286</v>
      </c>
      <c r="J436" s="99" t="b">
        <v>0</v>
      </c>
      <c r="K436" s="99" t="b">
        <v>0</v>
      </c>
      <c r="L436" s="95" t="s">
        <v>1553</v>
      </c>
      <c r="M436" s="100"/>
      <c r="N436" s="95"/>
      <c r="O436" s="1" t="str">
        <f>IFERROR(__xludf.DUMMYFUNCTION("GOOGLETRANSLATE(F436,""zh-CN"",""zh-TW"") "),"歐盟委員會發布關於 GDPR 應用的第二份報告，說明能有效實施 GDPR 所需的一系列行動，包含：
－GDPR 的一致解釋與應用
－增加資料保護機構的資源
－成員國應提供DPA 調查工具以進行執法（透過警告、譴責和罰款作為糾正措施）
－DPA 應與 EDPB 合作制定簡明實用的指南，供無法律背景的個人使用。
－增加提高資料主體 (包含兒童) 行使其權利的創新方式
－國際資料轉移")</f>
        <v>歐盟委員會發布關於 GDPR 應用的第二份報告，說明能有效實施 GDPR 所需的一系列行動，包含：
－GDPR 的一致解釋與應用
－增加資料保護機構的資源
－成員國應提供DPA 調查工具以進行執法（透過警告、譴責和罰款作為糾正措施）
－DPA 應與 EDPB 合作制定簡明實用的指南，供無法律背景的個人使用。
－增加提高資料主體 (包含兒童) 行使其權利的創新方式
－國際資料轉移</v>
      </c>
      <c r="P436" s="1"/>
      <c r="Q436" s="1"/>
      <c r="R436" s="1"/>
      <c r="S436" s="1"/>
      <c r="T436" s="1"/>
      <c r="U436" s="1"/>
      <c r="V436" s="1"/>
      <c r="W436" s="1"/>
      <c r="X436" s="1"/>
      <c r="Y436" s="1"/>
      <c r="Z436" s="1"/>
      <c r="AA436" s="1"/>
      <c r="AB436" s="1"/>
    </row>
    <row r="437" hidden="1" outlineLevel="1">
      <c r="A437" s="1" t="s">
        <v>519</v>
      </c>
      <c r="B437" s="1" t="s">
        <v>1089</v>
      </c>
      <c r="C437" s="1" t="s">
        <v>1301</v>
      </c>
      <c r="D437" s="1" t="s">
        <v>1554</v>
      </c>
      <c r="E437" s="27">
        <v>45583.0</v>
      </c>
      <c r="F437" s="1" t="s">
        <v>1555</v>
      </c>
      <c r="G437" s="7" t="s">
        <v>1556</v>
      </c>
      <c r="H437" s="16"/>
      <c r="I437" s="4" t="s">
        <v>1305</v>
      </c>
      <c r="J437" s="4" t="b">
        <v>0</v>
      </c>
      <c r="K437" s="4" t="b">
        <v>0</v>
      </c>
      <c r="L437" s="1" t="s">
        <v>1557</v>
      </c>
      <c r="M437" s="6"/>
      <c r="N437" s="1"/>
      <c r="O437" s="1" t="str">
        <f>IFERROR(__xludf.DUMMYFUNCTION("GOOGLETRANSLATE(F437,""zh-CN"",""zh-TW"") "),"完整彙整了 WordPress 共同創辦人 Matt Mullenweg 與提供 WordPress的代管服務 WP Engine 之間的爭端。 Mullenweg 指控 WP Engine 剝削 WordPress 生態系統而未充分貢獻。此爭議發展成法律糾紛，WP Engine 對 Automattic 和 Mullenweg 提出商標濫用與勒索的訴訟，Mullenweg 則限制 WP Engine 存取 WordPress.org 資源。這場糾紛突顯了開源社群對於商業利用開源軟件與回饋社群的平衡問題。")</f>
        <v>完整彙整了 WordPress 共同創辦人 Matt Mullenweg 與提供 WordPress的代管服務 WP Engine 之間的爭端。 Mullenweg 指控 WP Engine 剝削 WordPress 生態系統而未充分貢獻。此爭議發展成法律糾紛，WP Engine 對 Automattic 和 Mullenweg 提出商標濫用與勒索的訴訟，Mullenweg 則限制 WP Engine 存取 WordPress.org 資源。這場糾紛突顯了開源社群對於商業利用開源軟件與回饋社群的平衡問題。</v>
      </c>
      <c r="P437" s="1"/>
      <c r="Q437" s="1"/>
      <c r="R437" s="1"/>
      <c r="S437" s="1"/>
      <c r="T437" s="1"/>
      <c r="U437" s="1"/>
      <c r="V437" s="1"/>
      <c r="W437" s="1"/>
      <c r="X437" s="1"/>
      <c r="Y437" s="1"/>
      <c r="Z437" s="1"/>
      <c r="AA437" s="1"/>
      <c r="AB437" s="1"/>
    </row>
    <row r="438" hidden="1" outlineLevel="1">
      <c r="A438" s="1" t="s">
        <v>519</v>
      </c>
      <c r="B438" s="1" t="s">
        <v>1558</v>
      </c>
      <c r="C438" s="1" t="s">
        <v>1559</v>
      </c>
      <c r="D438" s="1" t="s">
        <v>1560</v>
      </c>
      <c r="E438" s="27">
        <v>45525.0</v>
      </c>
      <c r="F438" s="17" t="s">
        <v>1561</v>
      </c>
      <c r="G438" s="7" t="s">
        <v>1562</v>
      </c>
      <c r="H438" s="16"/>
      <c r="I438" s="4" t="s">
        <v>1286</v>
      </c>
      <c r="J438" s="4" t="b">
        <v>0</v>
      </c>
      <c r="K438" s="4" t="b">
        <v>0</v>
      </c>
      <c r="L438" s="1" t="s">
        <v>1563</v>
      </c>
      <c r="M438" s="6"/>
      <c r="N438" s="1"/>
      <c r="O438" s="1" t="str">
        <f>IFERROR(__xludf.DUMMYFUNCTION("GOOGLETRANSLATE(F438,""zh-CN"",""zh-TW"") "),"Linux 基金會開發了模型開放框架 (Model Openness Framework, MOF) ，此框架提供了一個開放的框架來幫助回答這些問題——鑑於LLM生產和部署中存在許多移動部件，這並不是一件容易的事。 Linux 基金會創建了一個分級系統，以幫助了解哪些元件是開放的並包含在模型中。
第一級，是一個開放的科學定義，其中使用的數據和每個組件以及所有指令都需要以完全相同的方式實際創建您自己的模型。 
第二級，是其中的一個子集，大多數都是開放的，但注意並非所有內容都開放。
第三級，有資料可能不可用"&amp;"的區域，但描述資料集可用。")</f>
        <v>Linux 基金會開發了模型開放框架 (Model Openness Framework, MOF) ，此框架提供了一個開放的框架來幫助回答這些問題——鑑於LLM生產和部署中存在許多移動部件，這並不是一件容易的事。 Linux 基金會創建了一個分級系統，以幫助了解哪些元件是開放的並包含在模型中。
第一級，是一個開放的科學定義，其中使用的數據和每個組件以及所有指令都需要以完全相同的方式實際創建您自己的模型。 
第二級，是其中的一個子集，大多數都是開放的，但注意並非所有內容都開放。
第三級，有資料可能不可用的區域，但描述資料集可用。</v>
      </c>
      <c r="P438" s="1"/>
      <c r="Q438" s="1"/>
      <c r="R438" s="1"/>
      <c r="S438" s="1"/>
      <c r="T438" s="1"/>
      <c r="U438" s="1"/>
      <c r="V438" s="1"/>
      <c r="W438" s="1"/>
      <c r="X438" s="1"/>
      <c r="Y438" s="1"/>
      <c r="Z438" s="1"/>
      <c r="AA438" s="1"/>
      <c r="AB438" s="1"/>
    </row>
    <row r="439" hidden="1" outlineLevel="1">
      <c r="A439" s="1" t="s">
        <v>507</v>
      </c>
      <c r="B439" s="1" t="s">
        <v>680</v>
      </c>
      <c r="C439" s="1" t="s">
        <v>1564</v>
      </c>
      <c r="D439" s="1" t="s">
        <v>1565</v>
      </c>
      <c r="E439" s="27">
        <v>45534.0</v>
      </c>
      <c r="F439" s="17" t="s">
        <v>1566</v>
      </c>
      <c r="G439" s="7" t="s">
        <v>1567</v>
      </c>
      <c r="H439" s="9" t="s">
        <v>1568</v>
      </c>
      <c r="I439" s="4" t="s">
        <v>1280</v>
      </c>
      <c r="J439" s="4" t="b">
        <v>0</v>
      </c>
      <c r="K439" s="4" t="b">
        <v>0</v>
      </c>
      <c r="L439" s="1" t="s">
        <v>1569</v>
      </c>
      <c r="M439" s="6"/>
      <c r="N439" s="1"/>
      <c r="O439" s="1" t="str">
        <f>IFERROR(__xludf.DUMMYFUNCTION("GOOGLETRANSLATE(F439,""zh-CN"",""zh-TW"") "),"訓練大型語言模型所使用的資料集集合，混合數千個來源的不同資料。但當資料集重組時，有關其來源及授權資訊經常被遺失或混淆。不僅引起法律和道德問題，還會損害模型的效能。
為了提高資料透明度，麻省理工學院和其他多學科研究人員團隊對熱門託管網站上的 1,800 多個文字資料集進行了系統審核。他們發現，超過 70% 的資料集遺漏部份授權訊息，而大約 50% 的資料集包含包含錯誤的資訊。
MIT 開發名為 Data Provenance Explorer 的用戶友好工具，可自動生成易於閱讀的摘要, 包含數據集創建者、來"&amp;"源、授權和允許用途等資訊。
研究人員還發現對 2023 年和 2024 年創建的數據集的限制急劇增加，這可能是由於學術界擔心他們的數據集可能被用於非預期的商業目的。")</f>
        <v>訓練大型語言模型所使用的資料集集合，混合數千個來源的不同資料。但當資料集重組時，有關其來源及授權資訊經常被遺失或混淆。不僅引起法律和道德問題，還會損害模型的效能。
為了提高資料透明度，麻省理工學院和其他多學科研究人員團隊對熱門託管網站上的 1,800 多個文字資料集進行了系統審核。他們發現，超過 70% 的資料集遺漏部份授權訊息，而大約 50% 的資料集包含包含錯誤的資訊。
MIT 開發名為 Data Provenance Explorer 的用戶友好工具，可自動生成易於閱讀的摘要, 包含數據集創建者、來源、授權和允許用途等資訊。
研究人員還發現對 2023 年和 2024 年創建的數據集的限制急劇增加，這可能是由於學術界擔心他們的數據集可能被用於非預期的商業目的。</v>
      </c>
      <c r="P439" s="1"/>
      <c r="Q439" s="1"/>
      <c r="R439" s="1"/>
      <c r="S439" s="1"/>
      <c r="T439" s="1"/>
      <c r="U439" s="1"/>
      <c r="V439" s="1"/>
      <c r="W439" s="1"/>
      <c r="X439" s="1"/>
      <c r="Y439" s="1"/>
      <c r="Z439" s="1"/>
      <c r="AA439" s="1"/>
      <c r="AB439" s="1"/>
    </row>
    <row r="440" hidden="1" outlineLevel="1">
      <c r="A440" s="1" t="s">
        <v>519</v>
      </c>
      <c r="B440" s="1" t="s">
        <v>537</v>
      </c>
      <c r="C440" s="1" t="s">
        <v>1301</v>
      </c>
      <c r="D440" s="1" t="s">
        <v>1570</v>
      </c>
      <c r="E440" s="27">
        <v>45573.0</v>
      </c>
      <c r="F440" s="17" t="s">
        <v>1571</v>
      </c>
      <c r="G440" s="7" t="s">
        <v>1572</v>
      </c>
      <c r="H440" s="16"/>
      <c r="I440" s="4" t="s">
        <v>1305</v>
      </c>
      <c r="J440" s="4" t="b">
        <v>0</v>
      </c>
      <c r="K440" s="4" t="b">
        <v>0</v>
      </c>
      <c r="L440" s="1" t="s">
        <v>1573</v>
      </c>
      <c r="M440" s="6"/>
      <c r="N440" s="7" t="s">
        <v>1574</v>
      </c>
      <c r="O440" s="1" t="str">
        <f>IFERROR(__xludf.DUMMYFUNCTION("GOOGLETRANSLATE(F440,""zh-CN"",""zh-TW"") "),"這篇文章討論了「Epic Games v. Google」一案的法律裁決，其中法官裁定 Google 必須允許第三方 App 商城訪問並分發 Google Play 商店中的 App，這將直接摧毀Google 對 Android App 商城的壟斷結構。法院還命令 Google 停止要求開發者只能使用 Google Play 計費，並允許替代付款方式和App 下載管道。此舉將促進創新並擴大使用者和開發者在 Android 開源生態系統中的自由 。")</f>
        <v>這篇文章討論了「Epic Games v. Google」一案的法律裁決，其中法官裁定 Google 必須允許第三方 App 商城訪問並分發 Google Play 商店中的 App，這將直接摧毀Google 對 Android App 商城的壟斷結構。法院還命令 Google 停止要求開發者只能使用 Google Play 計費，並允許替代付款方式和App 下載管道。此舉將促進創新並擴大使用者和開發者在 Android 開源生態系統中的自由 。</v>
      </c>
      <c r="P440" s="1"/>
      <c r="Q440" s="1"/>
      <c r="R440" s="1"/>
      <c r="S440" s="1"/>
      <c r="T440" s="1"/>
      <c r="U440" s="1"/>
      <c r="V440" s="1"/>
      <c r="W440" s="1"/>
      <c r="X440" s="1"/>
      <c r="Y440" s="1"/>
      <c r="Z440" s="1"/>
      <c r="AA440" s="1"/>
      <c r="AB440" s="1"/>
    </row>
    <row r="441" hidden="1" outlineLevel="1">
      <c r="A441" s="1" t="s">
        <v>519</v>
      </c>
      <c r="B441" s="1" t="s">
        <v>809</v>
      </c>
      <c r="C441" s="1" t="s">
        <v>1559</v>
      </c>
      <c r="D441" s="1" t="s">
        <v>1575</v>
      </c>
      <c r="E441" s="27">
        <v>45527.0</v>
      </c>
      <c r="F441" s="17" t="s">
        <v>1576</v>
      </c>
      <c r="G441" s="7" t="s">
        <v>1577</v>
      </c>
      <c r="H441" s="16"/>
      <c r="I441" s="4" t="s">
        <v>1286</v>
      </c>
      <c r="J441" s="4" t="b">
        <v>0</v>
      </c>
      <c r="K441" s="4" t="b">
        <v>0</v>
      </c>
      <c r="L441" s="1" t="s">
        <v>1578</v>
      </c>
      <c r="M441" s="6"/>
      <c r="N441" s="1"/>
      <c r="O441" s="1" t="str">
        <f>IFERROR(__xludf.DUMMYFUNCTION("GOOGLETRANSLATE(F441,""zh-CN"",""zh-TW"") "),"OSI 預計在 10 月All Things Open 會議提出最新的 OSI 開源 AI 定義草案 0.0.9，草案中重要變化：
－明確的定義：確保所有原件與整個人工智慧係統遵守開源原則。
－訓練資料的功能：分為開放、公開和不可分享的非公開資料 (open, public, and unshareable non-public data)，每種資料都有具體的指導方針，以提高透明度和對人工智慧係統偏差的理解。
－清單分離：授權條款評估清單已與主定義檔分離，與模型開放性架構(MOF) 保持一致。這種分離允"&amp;"許集中討論識別開源人工智能，同時保持定義中的一般原則。")</f>
        <v>OSI 預計在 10 月All Things Open 會議提出最新的 OSI 開源 AI 定義草案 0.0.9，草案中重要變化：
－明確的定義：確保所有原件與整個人工智慧係統遵守開源原則。
－訓練資料的功能：分為開放、公開和不可分享的非公開資料 (open, public, and unshareable non-public data)，每種資料都有具體的指導方針，以提高透明度和對人工智慧係統偏差的理解。
－清單分離：授權條款評估清單已與主定義檔分離，與模型開放性架構(MOF) 保持一致。這種分離允許集中討論識別開源人工智能，同時保持定義中的一般原則。</v>
      </c>
      <c r="P441" s="1"/>
      <c r="Q441" s="1"/>
      <c r="R441" s="1"/>
      <c r="S441" s="1"/>
      <c r="T441" s="1"/>
      <c r="U441" s="1"/>
      <c r="V441" s="1"/>
      <c r="W441" s="1"/>
      <c r="X441" s="1"/>
      <c r="Y441" s="1"/>
      <c r="Z441" s="1"/>
      <c r="AA441" s="1"/>
      <c r="AB441" s="1"/>
    </row>
    <row r="442" hidden="1" outlineLevel="1">
      <c r="A442" s="1" t="s">
        <v>507</v>
      </c>
      <c r="B442" s="1" t="s">
        <v>520</v>
      </c>
      <c r="C442" s="1" t="s">
        <v>1579</v>
      </c>
      <c r="D442" s="1" t="s">
        <v>1580</v>
      </c>
      <c r="E442" s="27">
        <v>45566.0</v>
      </c>
      <c r="F442" s="17" t="s">
        <v>1581</v>
      </c>
      <c r="G442" s="7" t="s">
        <v>1582</v>
      </c>
      <c r="H442" s="16"/>
      <c r="I442" s="4" t="s">
        <v>1280</v>
      </c>
      <c r="J442" s="4" t="b">
        <v>0</v>
      </c>
      <c r="K442" s="4" t="b">
        <v>0</v>
      </c>
      <c r="L442" s="1" t="s">
        <v>1583</v>
      </c>
      <c r="M442" s="6"/>
      <c r="N442" s="1"/>
      <c r="O442" s="1" t="str">
        <f>IFERROR(__xludf.DUMMYFUNCTION("GOOGLETRANSLATE(F442,""zh-CN"",""zh-TW"") "),"MusicBrainz 是一個開放的音樂百科全書，它收集音樂元資料並將其提供給公眾。 MusicBrainz 的目標是：
1. 音樂資訊的最終來源，允許任何人在開放授權下貢獻和發布資料。
2. 通過提供可靠且明確的音樂辨識形式，成為音樂的通用語言，使人和機器能夠就音樂進行有意義的對話。
MusicBrainz 由MetaBrainz 基金會經營，總部位於加州的 501(c)(3) 免稅非營利組織，致力於保持 MusicBrainz 的免費和開源。")</f>
        <v>MusicBrainz 是一個開放的音樂百科全書，它收集音樂元資料並將其提供給公眾。 MusicBrainz 的目標是：
1. 音樂資訊的最終來源，允許任何人在開放授權下貢獻和發布資料。
2. 通過提供可靠且明確的音樂辨識形式，成為音樂的通用語言，使人和機器能夠就音樂進行有意義的對話。
MusicBrainz 由MetaBrainz 基金會經營，總部位於加州的 501(c)(3) 免稅非營利組織，致力於保持 MusicBrainz 的免費和開源。</v>
      </c>
      <c r="P442" s="1"/>
      <c r="Q442" s="1"/>
      <c r="R442" s="1"/>
      <c r="S442" s="1"/>
      <c r="T442" s="1"/>
      <c r="U442" s="1"/>
      <c r="V442" s="1"/>
      <c r="W442" s="1"/>
      <c r="X442" s="1"/>
      <c r="Y442" s="1"/>
      <c r="Z442" s="1"/>
      <c r="AA442" s="1"/>
      <c r="AB442" s="1"/>
    </row>
    <row r="443" hidden="1" outlineLevel="1">
      <c r="A443" s="1" t="s">
        <v>507</v>
      </c>
      <c r="B443" s="1" t="s">
        <v>599</v>
      </c>
      <c r="C443" s="1" t="s">
        <v>1051</v>
      </c>
      <c r="D443" s="1" t="s">
        <v>1584</v>
      </c>
      <c r="E443" s="27">
        <v>45527.0</v>
      </c>
      <c r="F443" s="17" t="s">
        <v>1585</v>
      </c>
      <c r="G443" s="7" t="s">
        <v>1586</v>
      </c>
      <c r="H443" s="16"/>
      <c r="I443" s="4" t="s">
        <v>1286</v>
      </c>
      <c r="J443" s="4" t="b">
        <v>0</v>
      </c>
      <c r="K443" s="4" t="b">
        <v>0</v>
      </c>
      <c r="L443" s="1" t="s">
        <v>1587</v>
      </c>
      <c r="M443" s="6"/>
      <c r="N443" s="1"/>
      <c r="O443" s="1" t="str">
        <f>IFERROR(__xludf.DUMMYFUNCTION("GOOGLETRANSLATE(F443,""zh-CN"",""zh-TW"") "),"此文深入探討開放資料排名的重要性，探討其背後的方法，並討論它們所揭示的全球透明度狀況
全球資料晴雨表 (Global Data Barometer, GBD)，提供了一個基準，使政府能夠根據「資料造福公共利益」的概念調整政策，從而培育更健康的資料生態系統。
Open Data Watch 開放資料觀察使用開放資料清單 (ODIN) 的結果和方法，衡量近 200 個國家官方統計資料覆蓋率和開放性的全球指數。各國統計主管單位、世界銀行和聯合國都使用ODIN 作為監測開放資料措施進展的工具。
OECD O"&amp;"URdata Index ，此為開放、有用且可重複使用的資料索引。現為評估 40 多國政府設計和實施國家開放政府資料政策努力程度的重要基準。透過三個關鍵支柱評估國家開放資料措施：資料可用性、資料可存取性和政府對資料重用的支援。以及評估 10 個主題領域的 82 個高價值資料集的可用性和可訪問性。")</f>
        <v>此文深入探討開放資料排名的重要性，探討其背後的方法，並討論它們所揭示的全球透明度狀況
全球資料晴雨表 (Global Data Barometer, GBD)，提供了一個基準，使政府能夠根據「資料造福公共利益」的概念調整政策，從而培育更健康的資料生態系統。
Open Data Watch 開放資料觀察使用開放資料清單 (ODIN) 的結果和方法，衡量近 200 個國家官方統計資料覆蓋率和開放性的全球指數。各國統計主管單位、世界銀行和聯合國都使用ODIN 作為監測開放資料措施進展的工具。
OECD OURdata Index ，此為開放、有用且可重複使用的資料索引。現為評估 40 多國政府設計和實施國家開放政府資料政策努力程度的重要基準。透過三個關鍵支柱評估國家開放資料措施：資料可用性、資料可存取性和政府對資料重用的支援。以及評估 10 個主題領域的 82 個高價值資料集的可用性和可訪問性。</v>
      </c>
      <c r="P443" s="1"/>
      <c r="Q443" s="1"/>
      <c r="R443" s="1"/>
      <c r="S443" s="1"/>
      <c r="T443" s="1"/>
      <c r="U443" s="1"/>
      <c r="V443" s="1"/>
      <c r="W443" s="1"/>
      <c r="X443" s="1"/>
      <c r="Y443" s="1"/>
      <c r="Z443" s="1"/>
      <c r="AA443" s="1"/>
      <c r="AB443" s="1"/>
    </row>
    <row r="444" hidden="1" outlineLevel="1">
      <c r="A444" s="1" t="s">
        <v>519</v>
      </c>
      <c r="B444" s="1" t="s">
        <v>1089</v>
      </c>
      <c r="C444" s="101" t="s">
        <v>1588</v>
      </c>
      <c r="D444" s="102" t="s">
        <v>1589</v>
      </c>
      <c r="E444" s="27">
        <v>45584.0</v>
      </c>
      <c r="F444" s="103" t="s">
        <v>1590</v>
      </c>
      <c r="G444" s="104" t="s">
        <v>1591</v>
      </c>
      <c r="H444" s="16"/>
      <c r="I444" s="4" t="s">
        <v>1305</v>
      </c>
      <c r="J444" s="4" t="b">
        <v>0</v>
      </c>
      <c r="K444" s="4" t="b">
        <v>0</v>
      </c>
      <c r="L444" s="1" t="s">
        <v>1592</v>
      </c>
      <c r="M444" s="6"/>
      <c r="N444" s="1"/>
      <c r="O444" s="1" t="str">
        <f>IFERROR(__xludf.DUMMYFUNCTION("GOOGLETRANSLATE(F444,""zh-CN"",""zh-TW"") "),"這篇文章討論了 GNU Boot 版本中再次發現的非自由原始碼問題，這影響了許多 GNU/Linux 發行版，需要大量的手動修補。")</f>
        <v>這篇文章討論了 GNU Boot 版本中再次發現的非自由原始碼問題，這影響了許多 GNU/Linux 發行版，需要大量的手動修補。</v>
      </c>
      <c r="P444" s="1"/>
      <c r="Q444" s="1"/>
      <c r="R444" s="1"/>
      <c r="S444" s="1"/>
      <c r="T444" s="1"/>
      <c r="U444" s="1"/>
      <c r="V444" s="1"/>
      <c r="W444" s="1"/>
      <c r="X444" s="1"/>
      <c r="Y444" s="1"/>
      <c r="Z444" s="1"/>
      <c r="AA444" s="1"/>
      <c r="AB444" s="1"/>
    </row>
    <row r="445" hidden="1" outlineLevel="1">
      <c r="A445" s="1" t="s">
        <v>519</v>
      </c>
      <c r="B445" s="1" t="s">
        <v>799</v>
      </c>
      <c r="C445" s="1" t="s">
        <v>1021</v>
      </c>
      <c r="D445" s="1" t="s">
        <v>1593</v>
      </c>
      <c r="E445" s="27">
        <v>45557.0</v>
      </c>
      <c r="F445" s="19" t="s">
        <v>1594</v>
      </c>
      <c r="G445" s="7" t="s">
        <v>1595</v>
      </c>
      <c r="H445" s="16"/>
      <c r="I445" s="4" t="s">
        <v>1280</v>
      </c>
      <c r="J445" s="4" t="b">
        <v>0</v>
      </c>
      <c r="K445" s="4" t="b">
        <v>0</v>
      </c>
      <c r="L445" s="1" t="s">
        <v>1596</v>
      </c>
      <c r="M445" s="6"/>
      <c r="N445" s="1"/>
      <c r="O445" s="1" t="str">
        <f>IFERROR(__xludf.DUMMYFUNCTION("GOOGLETRANSLATE(F445,""zh-CN"",""zh-TW"") "),"開發軟件公司 Sentry 最近推出了一個名為「公平來源」（Fair source）的新授權類別。 此模式是處在開放和專有之間的治理模式。
「開源不是商業模式——開源是一種分發模式，它主要是一種軟件開發模式，」
BUSL 授權遵循了許多開源授權的精神：用戶可以自行託管和修改代碼，而無需向創建者支付一毛錢。他們只是無法將產品作為競爭服務進行商業化。
目前，主要建議的公平原始碼授權是功能原始碼授權 ( FSL )， Sentry 本身去年推出了該授權，作為 BUSL 的更簡單替代方案。然而，BUSL 本身現在"&amp;"也被指定為公平來源， Keygen.sh 貢獻的全新公平核心授權 ( FCL ) 也被指定為公平來源，兩者都包含在內以支援不同項目的需求。
所有公平來源授權都應具有三個核心規定：它[代碼]應該公開可供閱讀；允許第三方在「最低限度」的情況下使用、修改和重新分發；並且有延遲開源發布（DOSP）規定，這意味著它在預定義的時間段後轉換為真正的開源授權。
FSL 授權，該期限為兩年；對於BUSL，預設期限為四年。")</f>
        <v>開發軟件公司 Sentry 最近推出了一個名為「公平來源」（Fair source）的新授權類別。 此模式是處在開放和專有之間的治理模式。
「開源不是商業模式——開源是一種分發模式，它主要是一種軟件開發模式，」
BUSL 授權遵循了許多開源授權的精神：用戶可以自行託管和修改代碼，而無需向創建者支付一毛錢。他們只是無法將產品作為競爭服務進行商業化。
目前，主要建議的公平原始碼授權是功能原始碼授權 ( FSL )， Sentry 本身去年推出了該授權，作為 BUSL 的更簡單替代方案。然而，BUSL 本身現在也被指定為公平來源， Keygen.sh 貢獻的全新公平核心授權 ( FCL ) 也被指定為公平來源，兩者都包含在內以支援不同項目的需求。
所有公平來源授權都應具有三個核心規定：它[代碼]應該公開可供閱讀；允許第三方在「最低限度」的情況下使用、修改和重新分發；並且有延遲開源發布（DOSP）規定，這意味著它在預定義的時間段後轉換為真正的開源授權。
FSL 授權，該期限為兩年；對於BUSL，預設期限為四年。</v>
      </c>
      <c r="P445" s="1"/>
      <c r="Q445" s="1"/>
      <c r="R445" s="1"/>
      <c r="S445" s="1"/>
      <c r="T445" s="1"/>
      <c r="U445" s="1"/>
      <c r="V445" s="1"/>
      <c r="W445" s="1"/>
      <c r="X445" s="1"/>
      <c r="Y445" s="1"/>
      <c r="Z445" s="1"/>
      <c r="AA445" s="1"/>
      <c r="AB445" s="1"/>
    </row>
    <row r="446" collapsed="1">
      <c r="A446" s="1"/>
      <c r="B446" s="1"/>
      <c r="C446" s="1"/>
      <c r="D446" s="1"/>
      <c r="E446" s="94" t="s">
        <v>1597</v>
      </c>
      <c r="F446" s="1"/>
      <c r="G446" s="5"/>
      <c r="H446" s="16"/>
      <c r="I446" s="4"/>
      <c r="J446" s="4" t="b">
        <v>0</v>
      </c>
      <c r="K446" s="4" t="b">
        <v>0</v>
      </c>
      <c r="L446" s="1"/>
      <c r="M446" s="6"/>
      <c r="N446" s="1"/>
      <c r="O446" s="1" t="str">
        <f>IFERROR(__xludf.DUMMYFUNCTION("GOOGLETRANSLATE(F446,""zh-CN"",""zh-TW"") "),"#VALUE!")</f>
        <v>#VALUE!</v>
      </c>
      <c r="P446" s="1"/>
      <c r="Q446" s="1"/>
      <c r="R446" s="1"/>
      <c r="S446" s="1"/>
      <c r="T446" s="1"/>
      <c r="U446" s="1"/>
      <c r="V446" s="1"/>
      <c r="W446" s="1"/>
      <c r="X446" s="1"/>
      <c r="Y446" s="1"/>
      <c r="Z446" s="1"/>
      <c r="AA446" s="1"/>
      <c r="AB446" s="1"/>
    </row>
    <row r="447" hidden="1" outlineLevel="1">
      <c r="A447" s="1" t="s">
        <v>519</v>
      </c>
      <c r="B447" s="1" t="s">
        <v>520</v>
      </c>
      <c r="C447" s="1" t="s">
        <v>1021</v>
      </c>
      <c r="D447" s="1" t="s">
        <v>1598</v>
      </c>
      <c r="E447" s="27">
        <v>45537.0</v>
      </c>
      <c r="F447" s="17" t="s">
        <v>1599</v>
      </c>
      <c r="G447" s="7" t="s">
        <v>1600</v>
      </c>
      <c r="H447" s="16"/>
      <c r="I447" s="4" t="s">
        <v>1305</v>
      </c>
      <c r="J447" s="4" t="b">
        <v>0</v>
      </c>
      <c r="K447" s="4" t="b">
        <v>0</v>
      </c>
      <c r="L447" s="1"/>
      <c r="M447" s="6"/>
      <c r="N447" s="1"/>
      <c r="O447" s="1" t="str">
        <f>IFERROR(__xludf.DUMMYFUNCTION("GOOGLETRANSLATE(F447,""zh-CN"",""zh-TW"") "),"如何在與開源社群保持信任的同時，建立永續的商業模式，像 Docker 和 Redis 等公司選擇採用保護性授權，限製商業雲使用，但不影響社群核心的開放性，公司選擇開源部分組件，並將針對企業版的高級功能作為專有軟件，以支撐商業模式。
儘管許多 AI 模型被標記為「開放原始碼」，但由於涉及訓練數據、代碼和社區貢獻等因素，定義變得更為複雜。隨著像 Meta LLaMA 這類自訂授權的出現，這些授權限制了大規模雲端服務的壟斷性使用，顯示出傳統開放原始碼定義與保護社群驅動項目不受科技巨頭剝削之間的矛盾。
在建立"&amp;"社群信任和真誠互動方面，參與者多次強調：主動考慮貢獻、積極參與展示和黑客鬆活動等，對於培養可持續的生態系統至關重要。這樣的互動不僅能促進社區參與，還能促進業務成長。")</f>
        <v>如何在與開源社群保持信任的同時，建立永續的商業模式，像 Docker 和 Redis 等公司選擇採用保護性授權，限製商業雲使用，但不影響社群核心的開放性，公司選擇開源部分組件，並將針對企業版的高級功能作為專有軟件，以支撐商業模式。
儘管許多 AI 模型被標記為「開放原始碼」，但由於涉及訓練數據、代碼和社區貢獻等因素，定義變得更為複雜。隨著像 Meta LLaMA 這類自訂授權的出現，這些授權限制了大規模雲端服務的壟斷性使用，顯示出傳統開放原始碼定義與保護社群驅動項目不受科技巨頭剝削之間的矛盾。
在建立社群信任和真誠互動方面，參與者多次強調：主動考慮貢獻、積極參與展示和黑客鬆活動等，對於培養可持續的生態系統至關重要。這樣的互動不僅能促進社區參與，還能促進業務成長。</v>
      </c>
      <c r="P447" s="1"/>
      <c r="Q447" s="1"/>
      <c r="R447" s="1"/>
      <c r="S447" s="1"/>
      <c r="T447" s="1"/>
      <c r="U447" s="1"/>
      <c r="V447" s="1"/>
      <c r="W447" s="1"/>
      <c r="X447" s="1"/>
      <c r="Y447" s="1"/>
      <c r="Z447" s="1"/>
      <c r="AA447" s="1"/>
      <c r="AB447" s="1"/>
    </row>
    <row r="448" hidden="1" outlineLevel="1">
      <c r="A448" s="1" t="s">
        <v>519</v>
      </c>
      <c r="B448" s="1" t="s">
        <v>508</v>
      </c>
      <c r="C448" s="1" t="s">
        <v>755</v>
      </c>
      <c r="D448" s="1" t="s">
        <v>1601</v>
      </c>
      <c r="E448" s="27">
        <v>45540.0</v>
      </c>
      <c r="F448" s="1" t="s">
        <v>1602</v>
      </c>
      <c r="G448" s="7" t="s">
        <v>1603</v>
      </c>
      <c r="H448" s="16"/>
      <c r="I448" s="4" t="s">
        <v>1305</v>
      </c>
      <c r="J448" s="4"/>
      <c r="K448" s="4"/>
      <c r="L448" s="1"/>
      <c r="M448" s="6"/>
      <c r="N448" s="1"/>
      <c r="O448" s="1" t="str">
        <f>IFERROR(__xludf.DUMMYFUNCTION("GOOGLETRANSLATE(F448,""zh-CN"",""zh-TW"") "),"Bomctl 是款幫助開發者輕鬆管理軟體材料清單（SBOM）的開源工具，支援多格式和跨 SBOM 檔案管理。這個工具是由 OpenSSF 的 Security Tooling working group 開發。
Bomctl 以 protobom 資料庫作為核心資料模型，提供方便指令如合併、編輯和分割等，並計劃支援 OpenSSF 的 SBOMit 規範，以提高 SBOM 的驗證。
")</f>
        <v>Bomctl 是款幫助開發者輕鬆管理軟體材料清單（SBOM）的開源工具，支援多格式和跨 SBOM 檔案管理。這個工具是由 OpenSSF 的 Security Tooling working group 開發。
Bomctl 以 protobom 資料庫作為核心資料模型，提供方便指令如合併、編輯和分割等，並計劃支援 OpenSSF 的 SBOMit 規範，以提高 SBOM 的驗證。
</v>
      </c>
      <c r="P448" s="1"/>
      <c r="Q448" s="1"/>
      <c r="R448" s="1"/>
      <c r="S448" s="1"/>
      <c r="T448" s="1"/>
      <c r="U448" s="1"/>
      <c r="V448" s="1"/>
      <c r="W448" s="1"/>
      <c r="X448" s="1"/>
      <c r="Y448" s="1"/>
      <c r="Z448" s="1"/>
      <c r="AA448" s="1"/>
      <c r="AB448" s="1"/>
    </row>
    <row r="449" hidden="1" outlineLevel="1">
      <c r="A449" s="1" t="s">
        <v>519</v>
      </c>
      <c r="B449" s="1" t="s">
        <v>537</v>
      </c>
      <c r="C449" s="1" t="s">
        <v>1604</v>
      </c>
      <c r="D449" s="1" t="s">
        <v>1605</v>
      </c>
      <c r="E449" s="27">
        <v>45553.0</v>
      </c>
      <c r="F449" s="17" t="s">
        <v>1606</v>
      </c>
      <c r="G449" s="7" t="s">
        <v>1607</v>
      </c>
      <c r="H449" s="9" t="s">
        <v>1608</v>
      </c>
      <c r="I449" s="4" t="s">
        <v>1280</v>
      </c>
      <c r="J449" s="4" t="b">
        <v>0</v>
      </c>
      <c r="K449" s="4" t="b">
        <v>0</v>
      </c>
      <c r="L449" s="1"/>
      <c r="M449" s="6"/>
      <c r="N449" s="1"/>
      <c r="O449" s="1" t="str">
        <f>IFERROR(__xludf.DUMMYFUNCTION("GOOGLETRANSLATE(F449,""zh-CN"",""zh-TW"") "),"開源軟體套件安全公司 Tidelift 週二發布了2024 年開源維護者狀況報告，這是由 400 多名維護者回答的調查結果。
Tidelift 表示，大多數開源專案維護者的工作沒有報酬，在安全性方面花費的時間是三年前的三倍，並且對 xz 後門之後的貢獻者的信任度降低。
報告中有趣的數字：
- 45% 的受訪者擔任維護者的時間超過 10 年
- 60% 自稱是無薪愛好者的受訪者比例
- 產業安全標準：OpenSSF 記分卡在維護者中的認知度最高 (40%)
- 維護者的收入仍主要來自
-- 捐贈（25%，來"&amp;"自 GitHub Sponsors 等計畫）
-- 明確包含開源維護的公司薪資（24%）
-- 來自 Tidelift（19%）
-- 來自公司（5%）
-- 開源基金會（3%）
-- 政府或其他公共實體（1%）的直接付款")</f>
        <v>開源軟體套件安全公司 Tidelift 週二發布了2024 年開源維護者狀況報告，這是由 400 多名維護者回答的調查結果。
Tidelift 表示，大多數開源專案維護者的工作沒有報酬，在安全性方面花費的時間是三年前的三倍，並且對 xz 後門之後的貢獻者的信任度降低。
報告中有趣的數字：
- 45% 的受訪者擔任維護者的時間超過 10 年
- 60% 自稱是無薪愛好者的受訪者比例
- 產業安全標準：OpenSSF 記分卡在維護者中的認知度最高 (40%)
- 維護者的收入仍主要來自
-- 捐贈（25%，來自 GitHub Sponsors 等計畫）
-- 明確包含開源維護的公司薪資（24%）
-- 來自 Tidelift（19%）
-- 來自公司（5%）
-- 開源基金會（3%）
-- 政府或其他公共實體（1%）的直接付款</v>
      </c>
      <c r="P449" s="1"/>
      <c r="Q449" s="1"/>
      <c r="R449" s="1"/>
      <c r="S449" s="1"/>
      <c r="T449" s="1"/>
      <c r="U449" s="1"/>
      <c r="V449" s="1"/>
      <c r="W449" s="1"/>
      <c r="X449" s="1"/>
      <c r="Y449" s="1"/>
      <c r="Z449" s="1"/>
      <c r="AA449" s="1"/>
      <c r="AB449" s="1"/>
    </row>
    <row r="450" hidden="1" outlineLevel="1">
      <c r="A450" s="1" t="s">
        <v>519</v>
      </c>
      <c r="B450" s="1" t="s">
        <v>520</v>
      </c>
      <c r="C450" s="1" t="s">
        <v>1609</v>
      </c>
      <c r="D450" s="1" t="s">
        <v>1610</v>
      </c>
      <c r="E450" s="27">
        <v>45600.0</v>
      </c>
      <c r="F450" s="1" t="s">
        <v>1611</v>
      </c>
      <c r="G450" s="7" t="s">
        <v>1612</v>
      </c>
      <c r="H450" s="16"/>
      <c r="I450" s="4" t="s">
        <v>1280</v>
      </c>
      <c r="J450" s="4" t="b">
        <v>0</v>
      </c>
      <c r="K450" s="4" t="b">
        <v>0</v>
      </c>
      <c r="L450" s="1"/>
      <c r="M450" s="6"/>
      <c r="N450" s="1"/>
      <c r="O450" s="1" t="str">
        <f>IFERROR(__xludf.DUMMYFUNCTION("GOOGLETRANSLATE(F450,""zh-CN"",""zh-TW"") "),"有關開源軟件架構的相關書籍，CC BY 3.0 釋放")</f>
        <v>有關開源軟件架構的相關書籍，CC BY 3.0 釋放</v>
      </c>
      <c r="P450" s="1"/>
      <c r="Q450" s="1"/>
      <c r="R450" s="1"/>
      <c r="S450" s="1"/>
      <c r="T450" s="1"/>
      <c r="U450" s="1"/>
      <c r="V450" s="1"/>
      <c r="W450" s="1"/>
      <c r="X450" s="1"/>
      <c r="Y450" s="1"/>
      <c r="Z450" s="1"/>
      <c r="AA450" s="1"/>
      <c r="AB450" s="1"/>
    </row>
    <row r="451" hidden="1" outlineLevel="1">
      <c r="A451" s="1" t="s">
        <v>1385</v>
      </c>
      <c r="B451" s="1" t="s">
        <v>680</v>
      </c>
      <c r="C451" s="1" t="s">
        <v>1613</v>
      </c>
      <c r="D451" s="1" t="s">
        <v>1614</v>
      </c>
      <c r="E451" s="27">
        <v>45558.0</v>
      </c>
      <c r="F451" s="1" t="s">
        <v>1615</v>
      </c>
      <c r="G451" s="7" t="s">
        <v>1616</v>
      </c>
      <c r="H451" s="16"/>
      <c r="I451" s="4" t="s">
        <v>1280</v>
      </c>
      <c r="J451" s="4" t="b">
        <v>0</v>
      </c>
      <c r="K451" s="4" t="b">
        <v>0</v>
      </c>
      <c r="L451" s="1"/>
      <c r="M451" s="6"/>
      <c r="N451" s="1"/>
      <c r="O451" s="1" t="str">
        <f>IFERROR(__xludf.DUMMYFUNCTION("GOOGLETRANSLATE(F451,""zh-CN"",""zh-TW"") "),"歐盟出版的報告，提出了歐洲開放研究作為公共利益的集體非營利開放取用出版服務的願景。此願景是在重要的政策制定過程中產生的，這些政策旨在使出版和內容獲取的成本更加公平、透明和可持續，並加速改革研究評估的活動。報告包括願景的基本原理、歐盟政策和政治背景、集體 ORE 運作的價值主張和原則。")</f>
        <v>歐盟出版的報告，提出了歐洲開放研究作為公共利益的集體非營利開放取用出版服務的願景。此願景是在重要的政策制定過程中產生的，這些政策旨在使出版和內容獲取的成本更加公平、透明和可持續，並加速改革研究評估的活動。報告包括願景的基本原理、歐盟政策和政治背景、集體 ORE 運作的價值主張和原則。</v>
      </c>
      <c r="P451" s="1"/>
      <c r="Q451" s="1"/>
      <c r="R451" s="1"/>
      <c r="S451" s="1"/>
      <c r="T451" s="1"/>
      <c r="U451" s="1"/>
      <c r="V451" s="1"/>
      <c r="W451" s="1"/>
      <c r="X451" s="1"/>
      <c r="Y451" s="1"/>
      <c r="Z451" s="1"/>
      <c r="AA451" s="1"/>
      <c r="AB451" s="1"/>
    </row>
    <row r="452" hidden="1" outlineLevel="1">
      <c r="A452" s="1" t="s">
        <v>507</v>
      </c>
      <c r="B452" s="1" t="s">
        <v>1089</v>
      </c>
      <c r="C452" s="1" t="s">
        <v>509</v>
      </c>
      <c r="D452" s="1" t="s">
        <v>1617</v>
      </c>
      <c r="E452" s="27">
        <v>45540.0</v>
      </c>
      <c r="F452" s="1" t="s">
        <v>1618</v>
      </c>
      <c r="G452" s="7" t="s">
        <v>1619</v>
      </c>
      <c r="H452" s="16"/>
      <c r="I452" s="4" t="s">
        <v>1305</v>
      </c>
      <c r="J452" s="4" t="b">
        <v>0</v>
      </c>
      <c r="K452" s="4" t="b">
        <v>0</v>
      </c>
      <c r="L452" s="1"/>
      <c r="M452" s="6"/>
      <c r="N452" s="1"/>
      <c r="O452" s="1" t="str">
        <f>IFERROR(__xludf.DUMMYFUNCTION("GOOGLETRANSLATE(F452,""zh-CN"",""zh-TW"") "),"開放圖書館的出借原則，是採行通用的「可控數字借閱」（Controlled Digital Lending，CDL）原則，亦即館內有幾本實體書，就能藉出多少數字書籍，IA 亦與其它實體圖書館合作，將它們的藏書算進CDL的額度中。
然而，當COVID-19疫情使得全球大多數的圖書館都關門防疫時，IA在2020年3月推出國家緊急圖書館（National Emergency Library），完全打破CDL原則，每本電子書最多可同時被1萬名使用者藉閱。四大出版商指控，IA在未取得授權也未付款的狀態下，擅自掃描了"&amp;"具有版權的圖書，還把它們上傳到公開的服務器上供所有人借閱。
IA以合理使用作為辯護的理由。然而，法官認為不算是合理使用。而且IA所複製的作品都受到版權保護，提供免費的替代品的確侵蝕了出版商的電子書收益。 IA則表示對此判決感到很失望，正在審查法院的意見，也會繼續捍衛圖書館擁有、借閱及保存書籍的權利，還發動連署以要求出版業者恢復從IA中移除的圖書訪問權。")</f>
        <v>開放圖書館的出借原則，是採行通用的「可控數字借閱」（Controlled Digital Lending，CDL）原則，亦即館內有幾本實體書，就能藉出多少數字書籍，IA 亦與其它實體圖書館合作，將它們的藏書算進CDL的額度中。
然而，當COVID-19疫情使得全球大多數的圖書館都關門防疫時，IA在2020年3月推出國家緊急圖書館（National Emergency Library），完全打破CDL原則，每本電子書最多可同時被1萬名使用者藉閱。四大出版商指控，IA在未取得授權也未付款的狀態下，擅自掃描了具有版權的圖書，還把它們上傳到公開的服務器上供所有人借閱。
IA以合理使用作為辯護的理由。然而，法官認為不算是合理使用。而且IA所複製的作品都受到版權保護，提供免費的替代品的確侵蝕了出版商的電子書收益。 IA則表示對此判決感到很失望，正在審查法院的意見，也會繼續捍衛圖書館擁有、借閱及保存書籍的權利，還發動連署以要求出版業者恢復從IA中移除的圖書訪問權。</v>
      </c>
      <c r="P452" s="1"/>
      <c r="Q452" s="1"/>
      <c r="R452" s="1"/>
      <c r="S452" s="1"/>
      <c r="T452" s="1"/>
      <c r="U452" s="1"/>
      <c r="V452" s="1"/>
      <c r="W452" s="1"/>
      <c r="X452" s="1"/>
      <c r="Y452" s="1"/>
      <c r="Z452" s="1"/>
      <c r="AA452" s="1"/>
      <c r="AB452" s="1"/>
    </row>
    <row r="453" hidden="1" outlineLevel="1">
      <c r="A453" s="1" t="s">
        <v>519</v>
      </c>
      <c r="B453" s="1" t="s">
        <v>529</v>
      </c>
      <c r="C453" s="1" t="s">
        <v>1620</v>
      </c>
      <c r="D453" s="1" t="s">
        <v>1621</v>
      </c>
      <c r="E453" s="27">
        <v>45545.0</v>
      </c>
      <c r="F453" s="1" t="s">
        <v>1622</v>
      </c>
      <c r="G453" s="7" t="s">
        <v>1623</v>
      </c>
      <c r="H453" s="16"/>
      <c r="I453" s="4" t="s">
        <v>1280</v>
      </c>
      <c r="J453" s="4" t="b">
        <v>0</v>
      </c>
      <c r="K453" s="4" t="b">
        <v>0</v>
      </c>
      <c r="L453" s="1"/>
      <c r="M453" s="6"/>
      <c r="N453" s="1"/>
      <c r="O453" s="1" t="str">
        <f>IFERROR(__xludf.DUMMYFUNCTION("GOOGLETRANSLATE(F453,""zh-CN"",""zh-TW"") "),"NIST 指南草案本質上對開源人工智慧模式懷有敵意
TechFreedom 對美國國家標準與技術研究院 (NIST) 發布的人工智能安全指南草案和最佳實踐提出了評論，以回應關於安全、可靠和值得信賴的人工智能開發和使用的第14110 號行政命令。此外，根據該行政命令，國家電信和資訊管理局 (NTIA) 發布了一份關於開源人工智慧模型的風險、效益、影響和適當政策的報告。
TechFreedom 副法律顧問 Andy Jung 建議： “NIST 應採用並應用 NTIA 使用的邊際風險和收益分析框架來評估開"&amp;"源模型的總體風險。” “但是 NIST 的指南草案完全忽略了開源的好處。”")</f>
        <v>NIST 指南草案本質上對開源人工智慧模式懷有敵意
TechFreedom 對美國國家標準與技術研究院 (NIST) 發布的人工智能安全指南草案和最佳實踐提出了評論，以回應關於安全、可靠和值得信賴的人工智能開發和使用的第14110 號行政命令。此外，根據該行政命令，國家電信和資訊管理局 (NTIA) 發布了一份關於開源人工智慧模型的風險、效益、影響和適當政策的報告。
TechFreedom 副法律顧問 Andy Jung 建議： “NIST 應採用並應用 NTIA 使用的邊際風險和收益分析框架來評估開源模型的總體風險。” “但是 NIST 的指南草案完全忽略了開源的好處。”</v>
      </c>
      <c r="P453" s="1"/>
      <c r="Q453" s="1"/>
      <c r="R453" s="1"/>
      <c r="S453" s="1"/>
      <c r="T453" s="1"/>
      <c r="U453" s="1"/>
      <c r="V453" s="1"/>
      <c r="W453" s="1"/>
      <c r="X453" s="1"/>
      <c r="Y453" s="1"/>
      <c r="Z453" s="1"/>
      <c r="AA453" s="1"/>
      <c r="AB453" s="1"/>
    </row>
    <row r="454" hidden="1" outlineLevel="1">
      <c r="A454" s="1" t="s">
        <v>507</v>
      </c>
      <c r="B454" s="1" t="s">
        <v>520</v>
      </c>
      <c r="C454" s="1" t="s">
        <v>509</v>
      </c>
      <c r="D454" s="1" t="s">
        <v>1624</v>
      </c>
      <c r="E454" s="27">
        <v>45527.0</v>
      </c>
      <c r="F454" s="17" t="s">
        <v>1625</v>
      </c>
      <c r="G454" s="7" t="s">
        <v>1626</v>
      </c>
      <c r="H454" s="16"/>
      <c r="I454" s="4" t="s">
        <v>1305</v>
      </c>
      <c r="J454" s="4" t="b">
        <v>0</v>
      </c>
      <c r="K454" s="4" t="b">
        <v>0</v>
      </c>
      <c r="L454" s="1"/>
      <c r="M454" s="6"/>
      <c r="N454" s="1" t="s">
        <v>1627</v>
      </c>
      <c r="O454" s="1" t="str">
        <f>IFERROR(__xludf.DUMMYFUNCTION("GOOGLETRANSLATE(F454,""zh-CN"",""zh-TW"") "),"MyData 平臺自 2021 年推出至今，已超過三年，並與 83 個機關合作，提供 136 項個人資料服務。截至目前，該平臺累積資料下載次數已達 183 萬次。為提升地方政府服務體驗，數位部正與地方政府合作，透過 MyData 平臺簡化民眾申請服務的流程，並推動服務線上化發展。該平台分為找文件與找服務兩大類功能，協助民眾下載或授權使用個人資料。具體成效包括嘉義縣政府針對身心障礙者的專用停車證、以及南投、彰化和屏東等縣市提供的社會住宅、獎助學金等線上申請服務。")</f>
        <v>MyData 平臺自 2021 年推出至今，已超過三年，並與 83 個機關合作，提供 136 項個人資料服務。截至目前，該平臺累積資料下載次數已達 183 萬次。為提升地方政府服務體驗，數位部正與地方政府合作，透過 MyData 平臺簡化民眾申請服務的流程，並推動服務線上化發展。該平台分為找文件與找服務兩大類功能，協助民眾下載或授權使用個人資料。具體成效包括嘉義縣政府針對身心障礙者的專用停車證、以及南投、彰化和屏東等縣市提供的社會住宅、獎助學金等線上申請服務。</v>
      </c>
      <c r="P454" s="1"/>
      <c r="Q454" s="1"/>
      <c r="R454" s="1"/>
      <c r="S454" s="1"/>
      <c r="T454" s="1"/>
      <c r="U454" s="1"/>
      <c r="V454" s="1"/>
      <c r="W454" s="1"/>
      <c r="X454" s="1"/>
      <c r="Y454" s="1"/>
      <c r="Z454" s="1"/>
      <c r="AA454" s="1"/>
      <c r="AB454" s="1"/>
    </row>
    <row r="455" hidden="1" outlineLevel="1">
      <c r="A455" s="1" t="s">
        <v>519</v>
      </c>
      <c r="B455" s="1" t="s">
        <v>529</v>
      </c>
      <c r="C455" s="1" t="s">
        <v>1021</v>
      </c>
      <c r="D455" s="1" t="s">
        <v>1628</v>
      </c>
      <c r="E455" s="27">
        <v>45527.0</v>
      </c>
      <c r="F455" s="1" t="s">
        <v>1629</v>
      </c>
      <c r="G455" s="7" t="s">
        <v>1630</v>
      </c>
      <c r="H455" s="16"/>
      <c r="I455" s="4" t="s">
        <v>1286</v>
      </c>
      <c r="J455" s="4" t="b">
        <v>0</v>
      </c>
      <c r="K455" s="4" t="b">
        <v>0</v>
      </c>
      <c r="L455" s="1"/>
      <c r="M455" s="6"/>
      <c r="N455" s="1"/>
      <c r="O455" s="1" t="str">
        <f>IFERROR(__xludf.DUMMYFUNCTION("GOOGLETRANSLATE(F455,""zh-CN"",""zh-TW"") "),"Meta 和 Spotify 再次合作——這一次是在開源（或更準確地說，開放權重 open-weight）人工智能問題上，兩家公司聲稱歐盟有關人工智能的隱私法規阻礙了創新。例如，Meta 指出，它無法利用 Facebook 和 Instagram 上的公共資料 (public data) 訓練人工智能模型，因為監管機構尚未制定立法來解決如何處理這個問題。")</f>
        <v>Meta 和 Spotify 再次合作——這一次是在開源（或更準確地說，開放權重 open-weight）人工智能問題上，兩家公司聲稱歐盟有關人工智能的隱私法規阻礙了創新。例如，Meta 指出，它無法利用 Facebook 和 Instagram 上的公共資料 (public data) 訓練人工智能模型，因為監管機構尚未制定立法來解決如何處理這個問題。</v>
      </c>
      <c r="P455" s="1"/>
      <c r="Q455" s="1"/>
      <c r="R455" s="1"/>
      <c r="S455" s="1"/>
      <c r="T455" s="1"/>
      <c r="U455" s="1"/>
      <c r="V455" s="1"/>
      <c r="W455" s="1"/>
      <c r="X455" s="1"/>
      <c r="Y455" s="1"/>
      <c r="Z455" s="1"/>
      <c r="AA455" s="1"/>
      <c r="AB455" s="1"/>
    </row>
    <row r="456" hidden="1" outlineLevel="1">
      <c r="A456" s="87" t="s">
        <v>507</v>
      </c>
      <c r="B456" s="87" t="s">
        <v>1089</v>
      </c>
      <c r="C456" s="87" t="s">
        <v>1514</v>
      </c>
      <c r="D456" s="87" t="s">
        <v>1631</v>
      </c>
      <c r="E456" s="105">
        <v>45526.0</v>
      </c>
      <c r="F456" s="106" t="s">
        <v>1632</v>
      </c>
      <c r="G456" s="107" t="s">
        <v>1633</v>
      </c>
      <c r="H456" s="108"/>
      <c r="I456" s="86" t="s">
        <v>1305</v>
      </c>
      <c r="J456" s="86"/>
      <c r="K456" s="86"/>
      <c r="L456" s="109"/>
      <c r="M456" s="88"/>
      <c r="N456" s="87" t="s">
        <v>1634</v>
      </c>
      <c r="O456" s="1" t="str">
        <f>IFERROR(__xludf.DUMMYFUNCTION("GOOGLETRANSLATE(F456,""zh-CN"",""zh-TW"") "),"此為開放知識基金會辦理的線上對話記錄 ：開放知識網絡的亞洲成員討論亞洲開放知識的當前背景、機會和挑戰。
開放知識在亞洲仍被視為技術議題，導致許多非技術人被排除在外。應將開放知識視為一種社會運動，而不僅僅是技術倡議。討論還指出，南亞和東南亞的跨國合作面臨政治和後勤障礙，影響亞太地區的相關資訊流通，應定期舉行會議以讓各國的開放資料和開放知識倡議順利進行。")</f>
        <v>此為開放知識基金會辦理的線上對話記錄 ：開放知識網絡的亞洲成員討論亞洲開放知識的當前背景、機會和挑戰。
開放知識在亞洲仍被視為技術議題，導致許多非技術人被排除在外。應將開放知識視為一種社會運動，而不僅僅是技術倡議。討論還指出，南亞和東南亞的跨國合作面臨政治和後勤障礙，影響亞太地區的相關資訊流通，應定期舉行會議以讓各國的開放資料和開放知識倡議順利進行。</v>
      </c>
      <c r="P456" s="87"/>
      <c r="Q456" s="87"/>
      <c r="R456" s="87"/>
      <c r="S456" s="87"/>
      <c r="T456" s="87"/>
      <c r="U456" s="87"/>
      <c r="V456" s="87"/>
      <c r="W456" s="87"/>
      <c r="X456" s="87"/>
      <c r="Y456" s="87"/>
      <c r="Z456" s="87"/>
      <c r="AA456" s="87"/>
      <c r="AB456" s="87"/>
    </row>
    <row r="457" collapsed="1">
      <c r="A457" s="1"/>
      <c r="B457" s="1"/>
      <c r="C457" s="1"/>
      <c r="D457" s="1"/>
      <c r="E457" s="94" t="s">
        <v>1635</v>
      </c>
      <c r="F457" s="1"/>
      <c r="G457" s="5"/>
      <c r="H457" s="16"/>
      <c r="I457" s="4"/>
      <c r="J457" s="4" t="b">
        <v>0</v>
      </c>
      <c r="K457" s="4" t="b">
        <v>0</v>
      </c>
      <c r="L457" s="1"/>
      <c r="M457" s="6"/>
      <c r="N457" s="1"/>
      <c r="O457" s="1" t="str">
        <f>IFERROR(__xludf.DUMMYFUNCTION("GOOGLETRANSLATE(F457,""zh-CN"",""zh-TW"") "),"#VALUE!")</f>
        <v>#VALUE!</v>
      </c>
      <c r="P457" s="1"/>
      <c r="Q457" s="1"/>
      <c r="R457" s="1"/>
      <c r="S457" s="1"/>
      <c r="T457" s="1"/>
      <c r="U457" s="1"/>
      <c r="V457" s="1"/>
      <c r="W457" s="1"/>
      <c r="X457" s="1"/>
      <c r="Y457" s="1"/>
      <c r="Z457" s="1"/>
      <c r="AA457" s="1"/>
      <c r="AB457" s="1"/>
    </row>
    <row r="458" hidden="1" outlineLevel="1">
      <c r="A458" s="1" t="s">
        <v>519</v>
      </c>
      <c r="B458" s="1" t="s">
        <v>520</v>
      </c>
      <c r="C458" s="1" t="s">
        <v>1636</v>
      </c>
      <c r="D458" s="1" t="s">
        <v>1637</v>
      </c>
      <c r="E458" s="27">
        <v>45531.0</v>
      </c>
      <c r="F458" s="1" t="s">
        <v>1638</v>
      </c>
      <c r="G458" s="7" t="s">
        <v>1639</v>
      </c>
      <c r="H458" s="16"/>
      <c r="I458" s="4" t="s">
        <v>1286</v>
      </c>
      <c r="J458" s="4" t="b">
        <v>0</v>
      </c>
      <c r="K458" s="4" t="b">
        <v>0</v>
      </c>
      <c r="L458" s="1"/>
      <c r="M458" s="6"/>
      <c r="N458" s="1"/>
      <c r="O458" s="1" t="str">
        <f>IFERROR(__xludf.DUMMYFUNCTION("GOOGLETRANSLATE(F458,""zh-CN"",""zh-TW"") "),"EnterpriseDB （「EDB」），領先的 Postgres 資料庫和 AI 公司，宣布承諾贊助野生動物保護協會 (WCS) 的一項倡議　MERMAID ，包括面對氣候變化，利用 Postgres 和人工智能支援地球珊瑚礁的保護。
與使用傳統電子表格相比，使用 PostgreSQL 實現現代化資料收集的效率提高了三到五倍。透過數以千計收集珊瑚礁數據的科學家和志願者的資料共享和協作，MERMAID 用戶將利用 PostgreSQL 來管理他們的監測數據，並幫助當地社區和政府合作夥伴保護這些關鍵環境。"&amp;"
註：Postgres 是世界上最先進的開源資料庫，正在推動全球組織的創新。")</f>
        <v>EnterpriseDB （「EDB」），領先的 Postgres 資料庫和 AI 公司，宣布承諾贊助野生動物保護協會 (WCS) 的一項倡議　MERMAID ，包括面對氣候變化，利用 Postgres 和人工智能支援地球珊瑚礁的保護。
與使用傳統電子表格相比，使用 PostgreSQL 實現現代化資料收集的效率提高了三到五倍。透過數以千計收集珊瑚礁數據的科學家和志願者的資料共享和協作，MERMAID 用戶將利用 PostgreSQL 來管理他們的監測數據，並幫助當地社區和政府合作夥伴保護這些關鍵環境。
註：Postgres 是世界上最先進的開源資料庫，正在推動全球組織的創新。</v>
      </c>
      <c r="P458" s="1"/>
      <c r="Q458" s="1"/>
      <c r="R458" s="1"/>
      <c r="S458" s="1"/>
      <c r="T458" s="1"/>
      <c r="U458" s="1"/>
      <c r="V458" s="1"/>
      <c r="W458" s="1"/>
      <c r="X458" s="1"/>
      <c r="Y458" s="1"/>
      <c r="Z458" s="1"/>
      <c r="AA458" s="1"/>
      <c r="AB458" s="1"/>
    </row>
    <row r="459" hidden="1" outlineLevel="1">
      <c r="A459" s="1" t="s">
        <v>519</v>
      </c>
      <c r="B459" s="1" t="s">
        <v>599</v>
      </c>
      <c r="C459" s="1" t="s">
        <v>838</v>
      </c>
      <c r="D459" s="1" t="s">
        <v>1640</v>
      </c>
      <c r="E459" s="27">
        <v>45539.0</v>
      </c>
      <c r="F459" s="1" t="s">
        <v>1641</v>
      </c>
      <c r="G459" s="7" t="s">
        <v>1642</v>
      </c>
      <c r="H459" s="16"/>
      <c r="I459" s="4" t="s">
        <v>1286</v>
      </c>
      <c r="J459" s="4" t="b">
        <v>0</v>
      </c>
      <c r="K459" s="4" t="b">
        <v>0</v>
      </c>
      <c r="L459" s="1"/>
      <c r="M459" s="6"/>
      <c r="N459" s="1"/>
      <c r="O459" s="1" t="str">
        <f>IFERROR(__xludf.DUMMYFUNCTION("GOOGLETRANSLATE(F459,""zh-CN"",""zh-TW"") "),"此文介紹幾款開源軟件並鼓勵使用：
－Penpot（UX/UI 設計）
－Cal.com（會議安排助理）
－Screenity（屏幕錄製軟件）
－Nextcloud（雲端儲存）
－PhotoPrism（照片管理）")</f>
        <v>此文介紹幾款開源軟件並鼓勵使用：
－Penpot（UX/UI 設計）
－Cal.com（會議安排助理）
－Screenity（屏幕錄製軟件）
－Nextcloud（雲端儲存）
－PhotoPrism（照片管理）</v>
      </c>
      <c r="P459" s="1"/>
      <c r="Q459" s="1"/>
      <c r="R459" s="1"/>
      <c r="S459" s="1"/>
      <c r="T459" s="1"/>
      <c r="U459" s="1"/>
      <c r="V459" s="1"/>
      <c r="W459" s="1"/>
      <c r="X459" s="1"/>
      <c r="Y459" s="1"/>
      <c r="Z459" s="1"/>
      <c r="AA459" s="1"/>
      <c r="AB459" s="1"/>
    </row>
    <row r="460" hidden="1" outlineLevel="1">
      <c r="A460" s="1" t="s">
        <v>519</v>
      </c>
      <c r="B460" s="1" t="s">
        <v>520</v>
      </c>
      <c r="C460" s="7" t="s">
        <v>1643</v>
      </c>
      <c r="D460" s="1" t="s">
        <v>1644</v>
      </c>
      <c r="E460" s="27">
        <v>45510.0</v>
      </c>
      <c r="F460" s="1" t="s">
        <v>1645</v>
      </c>
      <c r="G460" s="7" t="s">
        <v>1646</v>
      </c>
      <c r="H460" s="16"/>
      <c r="I460" s="4" t="s">
        <v>1305</v>
      </c>
      <c r="J460" s="4" t="b">
        <v>0</v>
      </c>
      <c r="K460" s="4" t="b">
        <v>0</v>
      </c>
      <c r="L460" s="1"/>
      <c r="M460" s="6"/>
      <c r="N460" s="1"/>
      <c r="O460" s="1" t="str">
        <f>IFERROR(__xludf.DUMMYFUNCTION("GOOGLETRANSLATE(F460,""zh-CN"",""zh-TW"") "),"實施開源 CUDA 的 AMD GPU 專案「ZLUDA」被下架了。大家本來以為開發者屈服於 NVIDIA 的法律威脅，畢竟這個專案透過 ROCm 讓 ​​AMD GPU 繞過 NVIDIA 設下的限制，可以直接執行原先需要 NVIDIA 的閉源軟體 CUDA 才能運作的程式。
雖然這個計畫起初開源並接受 AMD 的讚助，但目前應 AMD 的要求被全面下架（原因不明）。開發者 Andrzej Janik 計劃從 AMD 開始資助前的代碼庫中重建 ZLUDA，儘管代碼全被移除，但由於其在 Git 上已被分"&amp;"發，開源的代碼可能仍存在於其他地方。")</f>
        <v>實施開源 CUDA 的 AMD GPU 專案「ZLUDA」被下架了。大家本來以為開發者屈服於 NVIDIA 的法律威脅，畢竟這個專案透過 ROCm 讓 ​​AMD GPU 繞過 NVIDIA 設下的限制，可以直接執行原先需要 NVIDIA 的閉源軟體 CUDA 才能運作的程式。
雖然這個計畫起初開源並接受 AMD 的讚助，但目前應 AMD 的要求被全面下架（原因不明）。開發者 Andrzej Janik 計劃從 AMD 開始資助前的代碼庫中重建 ZLUDA，儘管代碼全被移除，但由於其在 Git 上已被分發，開源的代碼可能仍存在於其他地方。</v>
      </c>
      <c r="P460" s="1"/>
      <c r="Q460" s="1"/>
      <c r="R460" s="1"/>
      <c r="S460" s="1"/>
      <c r="T460" s="1"/>
      <c r="U460" s="1"/>
      <c r="V460" s="1"/>
      <c r="W460" s="1"/>
      <c r="X460" s="1"/>
      <c r="Y460" s="1"/>
      <c r="Z460" s="1"/>
      <c r="AA460" s="1"/>
      <c r="AB460" s="1"/>
    </row>
    <row r="461" hidden="1" outlineLevel="1">
      <c r="A461" s="1" t="s">
        <v>519</v>
      </c>
      <c r="B461" s="1" t="s">
        <v>1647</v>
      </c>
      <c r="C461" s="1" t="s">
        <v>1648</v>
      </c>
      <c r="D461" s="1" t="s">
        <v>1649</v>
      </c>
      <c r="E461" s="27">
        <v>45539.0</v>
      </c>
      <c r="F461" s="1" t="s">
        <v>1650</v>
      </c>
      <c r="G461" s="7" t="s">
        <v>1651</v>
      </c>
      <c r="H461" s="16"/>
      <c r="I461" s="4" t="s">
        <v>1286</v>
      </c>
      <c r="J461" s="4" t="b">
        <v>0</v>
      </c>
      <c r="K461" s="4" t="b">
        <v>0</v>
      </c>
      <c r="L461" s="1"/>
      <c r="M461" s="6"/>
      <c r="N461" s="1"/>
      <c r="O461" s="1" t="str">
        <f>IFERROR(__xludf.DUMMYFUNCTION("GOOGLETRANSLATE(F461,""zh-CN"",""zh-TW"") "),"OSI 參加 2024 年北京開源大會的亮點
-演講「開源 AI 定義」的 0.09 版本
-「開源組織之間的合作」小組討論如何組織間如何協作與加強聯繫的方法
- 開源人工智能背景下的「資料集、隱私和版權」的爐邊談話
-- 討論訓練資料集中使用受版權保護的資料；
--在人工智慧培訓和內容生成的背景下合理使用；
--中國的人工智能監管框架。")</f>
        <v>OSI 參加 2024 年北京開源大會的亮點
-演講「開源 AI 定義」的 0.09 版本
-「開源組織之間的合作」小組討論如何組織間如何協作與加強聯繫的方法
- 開源人工智能背景下的「資料集、隱私和版權」的爐邊談話
-- 討論訓練資料集中使用受版權保護的資料；
--在人工智慧培訓和內容生成的背景下合理使用；
--中國的人工智能監管框架。</v>
      </c>
      <c r="P461" s="1"/>
      <c r="Q461" s="1"/>
      <c r="R461" s="1"/>
      <c r="S461" s="1"/>
      <c r="T461" s="1"/>
      <c r="U461" s="1"/>
      <c r="V461" s="1"/>
      <c r="W461" s="1"/>
      <c r="X461" s="1"/>
      <c r="Y461" s="1"/>
      <c r="Z461" s="1"/>
      <c r="AA461" s="1"/>
      <c r="AB461" s="1"/>
    </row>
    <row r="462" hidden="1" outlineLevel="1">
      <c r="A462" s="1" t="s">
        <v>519</v>
      </c>
      <c r="B462" s="1" t="s">
        <v>569</v>
      </c>
      <c r="C462" s="1" t="s">
        <v>1006</v>
      </c>
      <c r="D462" s="1" t="s">
        <v>1652</v>
      </c>
      <c r="E462" s="27">
        <v>45517.0</v>
      </c>
      <c r="F462" s="1" t="s">
        <v>1653</v>
      </c>
      <c r="G462" s="7" t="s">
        <v>1654</v>
      </c>
      <c r="H462" s="16"/>
      <c r="I462" s="4" t="s">
        <v>1305</v>
      </c>
      <c r="J462" s="4" t="b">
        <v>0</v>
      </c>
      <c r="K462" s="4" t="b">
        <v>0</v>
      </c>
      <c r="L462" s="1"/>
      <c r="M462" s="6"/>
      <c r="N462" s="1"/>
      <c r="O462" s="1" t="str">
        <f>IFERROR(__xludf.DUMMYFUNCTION("GOOGLETRANSLATE(F462,""zh-CN"",""zh-TW"") "),"美國正積極透過 AI 工具修復開放原始碼的安全漏洞。在最近 DEF CON 黑客大會上，美國政府辦理的競賽展示了生成式 AI 自動檢測和修補開源項目中安全漏洞的可能性，半決賽隊伍的模型在一次測試當中直接找到 22 個漏洞，並自動把其中 15 個給修復了。
這項名為 AI 網絡挑戰賽（AIxCC）提供對抗資安攻擊的自動化工具，保護醫院和供水系統等關鍵基礎設施的網路安全。該挑戰賽鼓勵網路安全團隊訓練大型語言模型，以識別並解決開源專案中的漏洞。美國白宮也正與能源部合作，將這些開源創新整合到能源網絡中。")</f>
        <v>美國正積極透過 AI 工具修復開放原始碼的安全漏洞。在最近 DEF CON 黑客大會上，美國政府辦理的競賽展示了生成式 AI 自動檢測和修補開源項目中安全漏洞的可能性，半決賽隊伍的模型在一次測試當中直接找到 22 個漏洞，並自動把其中 15 個給修復了。
這項名為 AI 網絡挑戰賽（AIxCC）提供對抗資安攻擊的自動化工具，保護醫院和供水系統等關鍵基礎設施的網路安全。該挑戰賽鼓勵網路安全團隊訓練大型語言模型，以識別並解決開源專案中的漏洞。美國白宮也正與能源部合作，將這些開源創新整合到能源網絡中。</v>
      </c>
      <c r="P462" s="1"/>
      <c r="Q462" s="1"/>
      <c r="R462" s="1"/>
      <c r="S462" s="1"/>
      <c r="T462" s="1"/>
      <c r="U462" s="1"/>
      <c r="V462" s="1"/>
      <c r="W462" s="1"/>
      <c r="X462" s="1"/>
      <c r="Y462" s="1"/>
      <c r="Z462" s="1"/>
      <c r="AA462" s="1"/>
      <c r="AB462" s="1"/>
    </row>
    <row r="463" hidden="1" outlineLevel="1">
      <c r="A463" s="1" t="s">
        <v>519</v>
      </c>
      <c r="B463" s="1" t="s">
        <v>520</v>
      </c>
      <c r="C463" s="1" t="s">
        <v>755</v>
      </c>
      <c r="D463" s="1" t="s">
        <v>1655</v>
      </c>
      <c r="E463" s="27">
        <v>45539.0</v>
      </c>
      <c r="F463" s="17" t="s">
        <v>1656</v>
      </c>
      <c r="G463" s="7" t="s">
        <v>1657</v>
      </c>
      <c r="H463" s="9" t="s">
        <v>1658</v>
      </c>
      <c r="I463" s="4" t="s">
        <v>1286</v>
      </c>
      <c r="J463" s="4" t="b">
        <v>0</v>
      </c>
      <c r="K463" s="4" t="b">
        <v>0</v>
      </c>
      <c r="L463" s="1" t="s">
        <v>1659</v>
      </c>
      <c r="M463" s="6"/>
      <c r="N463" s="1"/>
      <c r="O463" s="1" t="str">
        <f>IFERROR(__xludf.DUMMYFUNCTION("GOOGLETRANSLATE(F463,""zh-CN"",""zh-TW"") "),"Linux 基金會的開源安全基金會 (OpenSSF) 2024 年安全軟件開發教育調查提供了與金融服務業特別相關的重要見解，包括賣方銀行、買方公司和財富管理機構等 FINOS 成員。
該報告顯示人工智能和機器學習安全 (57%) 以及供應鏈安全 (56%) 被認為是未來重點關注的關鍵領域，並建議金融服務業利用FINOS 、 OpenSSF 、 Linux 基金會和其他開源計劃提供的教育材料和課程來增強開發團隊的安全技能。")</f>
        <v>Linux 基金會的開源安全基金會 (OpenSSF) 2024 年安全軟件開發教育調查提供了與金融服務業特別相關的重要見解，包括賣方銀行、買方公司和財富管理機構等 FINOS 成員。
該報告顯示人工智能和機器學習安全 (57%) 以及供應鏈安全 (56%) 被認為是未來重點關注的關鍵領域，並建議金融服務業利用FINOS 、 OpenSSF 、 Linux 基金會和其他開源計劃提供的教育材料和課程來增強開發團隊的安全技能。</v>
      </c>
      <c r="P463" s="1"/>
      <c r="Q463" s="1"/>
      <c r="R463" s="1"/>
      <c r="S463" s="1"/>
      <c r="T463" s="1"/>
      <c r="U463" s="1"/>
      <c r="V463" s="1"/>
      <c r="W463" s="1"/>
      <c r="X463" s="1"/>
      <c r="Y463" s="1"/>
      <c r="Z463" s="1"/>
      <c r="AA463" s="1"/>
      <c r="AB463" s="1"/>
    </row>
    <row r="464" hidden="1" outlineLevel="1">
      <c r="A464" s="1" t="s">
        <v>519</v>
      </c>
      <c r="B464" s="1" t="s">
        <v>520</v>
      </c>
      <c r="C464" s="1" t="s">
        <v>1021</v>
      </c>
      <c r="D464" s="1" t="s">
        <v>1660</v>
      </c>
      <c r="E464" s="27">
        <v>45540.0</v>
      </c>
      <c r="F464" s="1" t="s">
        <v>1661</v>
      </c>
      <c r="G464" s="7" t="s">
        <v>1662</v>
      </c>
      <c r="H464" s="16"/>
      <c r="I464" s="4" t="s">
        <v>1305</v>
      </c>
      <c r="J464" s="4" t="b">
        <v>0</v>
      </c>
      <c r="K464" s="4" t="b">
        <v>0</v>
      </c>
      <c r="L464" s="1"/>
      <c r="M464" s="6"/>
      <c r="N464" s="1"/>
      <c r="O464" s="1" t="str">
        <f>IFERROR(__xludf.DUMMYFUNCTION("GOOGLETRANSLATE(F464,""zh-CN"",""zh-TW"") "),"All Hands AI 宣布獲得由 Menlo Ventures 領投的 500 萬美元種子輪融資，開發開源的 AI 代理人（AI agent），這些代理人能處理大部分繁瑣的任務，使開發者能專注於其最擅長的發想工作。 OpenHands 的目標是成為開發者的自主協作開發助理，處理日常工作中的重複任務，從寫單元測試到部署，甚至是幫助發現假如某個文件不小心改到了變量名稱，是不是要一併修改項目當中的其他文件。該計畫起初叫做 OpenDevin，現在更名為 OpenHands，並在 GitHub 上獲得超過 3"&amp;"0,000 顆星和 150 多名貢獻者。")</f>
        <v>All Hands AI 宣布獲得由 Menlo Ventures 領投的 500 萬美元種子輪融資，開發開源的 AI 代理人（AI agent），這些代理人能處理大部分繁瑣的任務，使開發者能專注於其最擅長的發想工作。 OpenHands 的目標是成為開發者的自主協作開發助理，處理日常工作中的重複任務，從寫單元測試到部署，甚至是幫助發現假如某個文件不小心改到了變量名稱，是不是要一併修改項目當中的其他文件。該計畫起初叫做 OpenDevin，現在更名為 OpenHands，並在 GitHub 上獲得超過 30,000 顆星和 150 多名貢獻者。</v>
      </c>
      <c r="P464" s="1"/>
      <c r="Q464" s="1"/>
      <c r="R464" s="1"/>
      <c r="S464" s="1"/>
      <c r="T464" s="1"/>
      <c r="U464" s="1"/>
      <c r="V464" s="1"/>
      <c r="W464" s="1"/>
      <c r="X464" s="1"/>
      <c r="Y464" s="1"/>
      <c r="Z464" s="1"/>
      <c r="AA464" s="1"/>
      <c r="AB464" s="1"/>
    </row>
    <row r="465" hidden="1" outlineLevel="1">
      <c r="A465" s="1" t="s">
        <v>519</v>
      </c>
      <c r="B465" s="1" t="s">
        <v>680</v>
      </c>
      <c r="C465" s="1" t="s">
        <v>1663</v>
      </c>
      <c r="D465" s="1" t="s">
        <v>1664</v>
      </c>
      <c r="E465" s="27">
        <v>45541.0</v>
      </c>
      <c r="F465" s="17" t="s">
        <v>1665</v>
      </c>
      <c r="G465" s="7" t="s">
        <v>1666</v>
      </c>
      <c r="H465" s="16"/>
      <c r="I465" s="4" t="s">
        <v>1286</v>
      </c>
      <c r="J465" s="4" t="b">
        <v>0</v>
      </c>
      <c r="K465" s="4" t="b">
        <v>1</v>
      </c>
      <c r="L465" s="1"/>
      <c r="M465" s="6"/>
      <c r="N465" s="1"/>
      <c r="O465" s="1" t="str">
        <f>IFERROR(__xludf.DUMMYFUNCTION("GOOGLETRANSLATE(F465,""zh-CN"",""zh-TW"") "),"此文說明參與開源專案如何作為職業成長途徑。
- 開源貢獻透過在協作環境中展示他們的技能並展示他們對創新和社區驅動項目的承諾。
- 讓專業人士沉浸在國際環境中，與全球各地的不同團隊合作。這種接觸不僅拓寬了他們的技術專業知識，還磨練了溝通、解決問題和適應能力等基本軟技能。
-開源工作提供多樣性，可選擇自己喜歡工作的自由，提高生產力和學習成果。")</f>
        <v>此文說明參與開源專案如何作為職業成長途徑。
- 開源貢獻透過在協作環境中展示他們的技能並展示他們對創新和社區驅動項目的承諾。
- 讓專業人士沉浸在國際環境中，與全球各地的不同團隊合作。這種接觸不僅拓寬了他們的技術專業知識，還磨練了溝通、解決問題和適應能力等基本軟技能。
-開源工作提供多樣性，可選擇自己喜歡工作的自由，提高生產力和學習成果。</v>
      </c>
      <c r="P465" s="1"/>
      <c r="Q465" s="1"/>
      <c r="R465" s="1"/>
      <c r="S465" s="1"/>
      <c r="T465" s="1"/>
      <c r="U465" s="1"/>
      <c r="V465" s="1"/>
      <c r="W465" s="1"/>
      <c r="X465" s="1"/>
      <c r="Y465" s="1"/>
      <c r="Z465" s="1"/>
      <c r="AA465" s="1"/>
      <c r="AB465" s="1"/>
    </row>
    <row r="466" hidden="1" outlineLevel="1">
      <c r="A466" s="1" t="s">
        <v>519</v>
      </c>
      <c r="B466" s="1" t="s">
        <v>520</v>
      </c>
      <c r="C466" s="1" t="s">
        <v>1667</v>
      </c>
      <c r="D466" s="1" t="s">
        <v>1668</v>
      </c>
      <c r="E466" s="27">
        <v>45544.0</v>
      </c>
      <c r="F466" s="1" t="s">
        <v>1669</v>
      </c>
      <c r="G466" s="7" t="s">
        <v>1670</v>
      </c>
      <c r="H466" s="16"/>
      <c r="I466" s="4" t="s">
        <v>1286</v>
      </c>
      <c r="J466" s="4" t="b">
        <v>0</v>
      </c>
      <c r="K466" s="4" t="b">
        <v>0</v>
      </c>
      <c r="L466" s="1"/>
      <c r="M466" s="6"/>
      <c r="N466" s="1"/>
      <c r="O466" s="1" t="str">
        <f>IFERROR(__xludf.DUMMYFUNCTION("GOOGLETRANSLATE(F466,""zh-CN"",""zh-TW"") "),"AI 寫作新創公司 HyperWrite 於近日釋放基於 Llama 3.1-70B 的開源 LLM“Reflection 70B”，在數個第三方基準測試中，分數更勝 Claude 3.5 Sonnet、GPT-4o 等頂級閉源模型，公司 CEO Matt Shumer 將該模型譽為全球模型的頂級閉源模型。
其一大特色在於錯誤辨識與修正能力，模型藉由一種「reflection tuning」反思調整的技術，可反思產生的內容，在偵測到錯誤時就能進行即時修正。")</f>
        <v>AI 寫作新創公司 HyperWrite 於近日釋放基於 Llama 3.1-70B 的開源 LLM“Reflection 70B”，在數個第三方基準測試中，分數更勝 Claude 3.5 Sonnet、GPT-4o 等頂級閉源模型，公司 CEO Matt Shumer 將該模型譽為全球模型的頂級閉源模型。
其一大特色在於錯誤辨識與修正能力，模型藉由一種「reflection tuning」反思調整的技術，可反思產生的內容，在偵測到錯誤時就能進行即時修正。</v>
      </c>
      <c r="P466" s="1"/>
      <c r="Q466" s="1"/>
      <c r="R466" s="1"/>
      <c r="S466" s="1"/>
      <c r="T466" s="1"/>
      <c r="U466" s="1"/>
      <c r="V466" s="1"/>
      <c r="W466" s="1"/>
      <c r="X466" s="1"/>
      <c r="Y466" s="1"/>
      <c r="Z466" s="1"/>
      <c r="AA466" s="1"/>
      <c r="AB466" s="1"/>
    </row>
    <row r="467" ht="159.0" hidden="1" customHeight="1" outlineLevel="1">
      <c r="A467" s="1" t="s">
        <v>507</v>
      </c>
      <c r="B467" s="1" t="s">
        <v>520</v>
      </c>
      <c r="C467" s="1" t="s">
        <v>1667</v>
      </c>
      <c r="D467" s="1" t="s">
        <v>1671</v>
      </c>
      <c r="E467" s="27">
        <v>45542.0</v>
      </c>
      <c r="F467" s="1" t="s">
        <v>1672</v>
      </c>
      <c r="G467" s="7" t="s">
        <v>1673</v>
      </c>
      <c r="H467" s="16"/>
      <c r="I467" s="4" t="s">
        <v>1286</v>
      </c>
      <c r="J467" s="4" t="b">
        <v>0</v>
      </c>
      <c r="K467" s="4" t="b">
        <v>0</v>
      </c>
      <c r="L467" s="1"/>
      <c r="M467" s="6"/>
      <c r="N467" s="1"/>
      <c r="O467" s="1" t="str">
        <f>IFERROR(__xludf.DUMMYFUNCTION("GOOGLETRANSLATE(F467,""zh-CN"",""zh-TW"") "),"全球知名的視覺內容供應商 Getty Images 最近宣布，將其圖庫中的部分影像資料作為開放為範例資料集，正式上架 Hugging Face 平台，為 AI 模型的訓練提供了全新選擇。
此範例資料集包含 3,750 張來自 15 個類別的高品質影像，包括抽象與背景、建築環境、商業、概念、教育、醫療、工業與自然等。開發者無需擔心資料集在使用過程中會產生意外的法律風險，因為這些影像已經過仔細篩選，移除了任何可能引發問題的元素，包括名人照片、商標、成人不宜內容以及低解析度或缺乏元資料的影像。影像具有解析度高"&amp;"、豐富的結構化元資料等特色，專門為機器學習（ML）模型訓練設計，開發者可以直接應用於其 AI 訓練流程，無需再進行繁複的資料清理與強化工作。")</f>
        <v>全球知名的視覺內容供應商 Getty Images 最近宣布，將其圖庫中的部分影像資料作為開放為範例資料集，正式上架 Hugging Face 平台，為 AI 模型的訓練提供了全新選擇。
此範例資料集包含 3,750 張來自 15 個類別的高品質影像，包括抽象與背景、建築環境、商業、概念、教育、醫療、工業與自然等。開發者無需擔心資料集在使用過程中會產生意外的法律風險，因為這些影像已經過仔細篩選，移除了任何可能引發問題的元素，包括名人照片、商標、成人不宜內容以及低解析度或缺乏元資料的影像。影像具有解析度高、豐富的結構化元資料等特色，專門為機器學習（ML）模型訓練設計，開發者可以直接應用於其 AI 訓練流程，無需再進行繁複的資料清理與強化工作。</v>
      </c>
      <c r="P467" s="1"/>
      <c r="Q467" s="1"/>
      <c r="R467" s="1"/>
      <c r="S467" s="1"/>
      <c r="T467" s="1"/>
      <c r="U467" s="1"/>
      <c r="V467" s="1"/>
      <c r="W467" s="1"/>
      <c r="X467" s="1"/>
      <c r="Y467" s="1"/>
      <c r="Z467" s="1"/>
      <c r="AA467" s="1"/>
      <c r="AB467" s="1"/>
    </row>
    <row r="468" hidden="1" outlineLevel="1">
      <c r="A468" s="1" t="s">
        <v>519</v>
      </c>
      <c r="B468" s="1" t="s">
        <v>537</v>
      </c>
      <c r="C468" s="1" t="s">
        <v>1524</v>
      </c>
      <c r="D468" s="1" t="s">
        <v>1674</v>
      </c>
      <c r="E468" s="27">
        <v>45544.0</v>
      </c>
      <c r="F468" s="17" t="s">
        <v>1675</v>
      </c>
      <c r="G468" s="7" t="s">
        <v>1676</v>
      </c>
      <c r="H468" s="16"/>
      <c r="I468" s="4" t="s">
        <v>1305</v>
      </c>
      <c r="J468" s="4" t="b">
        <v>0</v>
      </c>
      <c r="K468" s="4" t="b">
        <v>0</v>
      </c>
      <c r="L468" s="1"/>
      <c r="M468" s="6"/>
      <c r="N468" s="1"/>
      <c r="O468" s="1" t="str">
        <f>IFERROR(__xludf.DUMMYFUNCTION("GOOGLETRANSLATE(F468,""zh-CN"",""zh-TW"") "),"在開源專案的領域中，普遍存在著被廣泛使用但僅由少數幾個人維護的應用程式。例如，sudo 項目對主要的 Linux 發行版至關重要，但主要由一個人維護。同樣地，許多基礎程式碼庫和工具的維護有限，更新通常不頻繁。通常，這些項目的大部分工作是由一位主要維護者完成。雖然像 OpenSSL 這樣的項目擁有 15 名維護者的較大團隊，但其他像 SQLite 則有嚴格的貢獻政策以確保其公共領域的原始碼品質穩定。這種情況凸顯了開源生態系統中的一個更廣泛的問題，即關鍵項目常常依賴於少數幾個專注的貢獻者。")</f>
        <v>在開源專案的領域中，普遍存在著被廣泛使用但僅由少數幾個人維護的應用程式。例如，sudo 項目對主要的 Linux 發行版至關重要，但主要由一個人維護。同樣地，許多基礎程式碼庫和工具的維護有限，更新通常不頻繁。通常，這些項目的大部分工作是由一位主要維護者完成。雖然像 OpenSSL 這樣的項目擁有 15 名維護者的較大團隊，但其他像 SQLite 則有嚴格的貢獻政策以確保其公共領域的原始碼品質穩定。這種情況凸顯了開源生態系統中的一個更廣泛的問題，即關鍵項目常常依賴於少數幾個專注的貢獻者。</v>
      </c>
      <c r="P468" s="1"/>
      <c r="Q468" s="1"/>
      <c r="R468" s="1"/>
      <c r="S468" s="1"/>
      <c r="T468" s="1"/>
      <c r="U468" s="1"/>
      <c r="V468" s="1"/>
      <c r="W468" s="1"/>
      <c r="X468" s="1"/>
      <c r="Y468" s="1"/>
      <c r="Z468" s="1"/>
      <c r="AA468" s="1"/>
      <c r="AB468" s="1"/>
    </row>
    <row r="469" hidden="1" outlineLevel="1">
      <c r="A469" s="1" t="s">
        <v>519</v>
      </c>
      <c r="B469" s="1" t="s">
        <v>1089</v>
      </c>
      <c r="C469" s="1" t="s">
        <v>1677</v>
      </c>
      <c r="D469" s="1" t="s">
        <v>1678</v>
      </c>
      <c r="E469" s="27">
        <v>45550.0</v>
      </c>
      <c r="F469" s="1" t="s">
        <v>1679</v>
      </c>
      <c r="G469" s="7" t="s">
        <v>1680</v>
      </c>
      <c r="H469" s="16"/>
      <c r="I469" s="4" t="s">
        <v>1286</v>
      </c>
      <c r="J469" s="4" t="b">
        <v>0</v>
      </c>
      <c r="K469" s="4" t="b">
        <v>0</v>
      </c>
      <c r="L469" s="1"/>
      <c r="M469" s="6"/>
      <c r="N469" s="1"/>
      <c r="O469" s="1" t="str">
        <f>IFERROR(__xludf.DUMMYFUNCTION("GOOGLETRANSLATE(F469,""zh-CN"",""zh-TW"") "),"諾基亞早在 2004 年就實施了開源合規計畫，並自 2014 年起設立了多學科開源計畫辦公室 ( OSPO )。
Nokia 認為擁有全行業認可的標準來為行業和整個供應鏈中的各方提供可預測性非常重要。")</f>
        <v>諾基亞早在 2004 年就實施了開源合規計畫，並自 2014 年起設立了多學科開源計畫辦公室 ( OSPO )。
Nokia 認為擁有全行業認可的標準來為行業和整個供應鏈中的各方提供可預測性非常重要。</v>
      </c>
      <c r="P469" s="1"/>
      <c r="Q469" s="1"/>
      <c r="R469" s="1"/>
      <c r="S469" s="1"/>
      <c r="T469" s="1"/>
      <c r="U469" s="1"/>
      <c r="V469" s="1"/>
      <c r="W469" s="1"/>
      <c r="X469" s="1"/>
      <c r="Y469" s="1"/>
      <c r="Z469" s="1"/>
      <c r="AA469" s="1"/>
      <c r="AB469" s="1"/>
    </row>
    <row r="470" hidden="1" outlineLevel="1">
      <c r="A470" s="1" t="s">
        <v>519</v>
      </c>
      <c r="B470" s="1" t="s">
        <v>520</v>
      </c>
      <c r="C470" s="1" t="s">
        <v>1021</v>
      </c>
      <c r="D470" s="1" t="s">
        <v>1681</v>
      </c>
      <c r="E470" s="27">
        <v>45554.0</v>
      </c>
      <c r="F470" s="1" t="s">
        <v>1682</v>
      </c>
      <c r="G470" s="7" t="s">
        <v>1683</v>
      </c>
      <c r="H470" s="16"/>
      <c r="I470" s="4" t="s">
        <v>1305</v>
      </c>
      <c r="J470" s="4" t="b">
        <v>0</v>
      </c>
      <c r="K470" s="4" t="b">
        <v>0</v>
      </c>
      <c r="L470" s="1"/>
      <c r="M470" s="6"/>
      <c r="N470" s="1"/>
      <c r="O470" s="1" t="str">
        <f>IFERROR(__xludf.DUMMYFUNCTION("GOOGLETRANSLATE(F470,""zh-CN"",""zh-TW"") "),"Brightband 看好未來使用開源的 AI 天氣預測工具。認識到傳統工具難以處理氣候和天氣資料的爆炸性增長。新創公司 Brightband旨在將機器學習預測模型轉變為開源授權。儘管目前的預測技術基於過時的統計模型，但人工智能提供了更有效率的方法，可從龐大的資料集中識別。然而，由於政府和氣象公司難以吸引頂尖人才，這個差距存在，Brightband 希望透過集結AI、數據和氣象專家來彌合這一差距。他們正在使用廣泛的氣象觀測資料來開發自己的模型，利用現有的基於物理的模型。 Brightband計畫將其模式開"&amp;"源，讓任何人都可以檢視和使用，同時為專業需求提供付費服務。這種方法涉及處理和釋放大量先前未充分利用的資料，促進社區參與以增強對大氣的理解。儘管他們與國家氣象局等機構合作，Brightband 的重點是為各行各業提供快速、方便的資料解決方案。雖然作為社會企業，他們已籌集了1000萬美元的A輪融資以推進其目標。")</f>
        <v>Brightband 看好未來使用開源的 AI 天氣預測工具。認識到傳統工具難以處理氣候和天氣資料的爆炸性增長。新創公司 Brightband旨在將機器學習預測模型轉變為開源授權。儘管目前的預測技術基於過時的統計模型，但人工智能提供了更有效率的方法，可從龐大的資料集中識別。然而，由於政府和氣象公司難以吸引頂尖人才，這個差距存在，Brightband 希望透過集結AI、數據和氣象專家來彌合這一差距。他們正在使用廣泛的氣象觀測資料來開發自己的模型，利用現有的基於物理的模型。 Brightband計畫將其模式開源，讓任何人都可以檢視和使用，同時為專業需求提供付費服務。這種方法涉及處理和釋放大量先前未充分利用的資料，促進社區參與以增強對大氣的理解。儘管他們與國家氣象局等機構合作，Brightband 的重點是為各行各業提供快速、方便的資料解決方案。雖然作為社會企業，他們已籌集了1000萬美元的A輪融資以推進其目標。</v>
      </c>
      <c r="P470" s="1"/>
      <c r="Q470" s="1"/>
      <c r="R470" s="1"/>
      <c r="S470" s="1"/>
      <c r="T470" s="1"/>
      <c r="U470" s="1"/>
      <c r="V470" s="1"/>
      <c r="W470" s="1"/>
      <c r="X470" s="1"/>
      <c r="Y470" s="1"/>
      <c r="Z470" s="1"/>
      <c r="AA470" s="1"/>
      <c r="AB470" s="1"/>
    </row>
    <row r="471" hidden="1" outlineLevel="1">
      <c r="A471" s="1" t="s">
        <v>519</v>
      </c>
      <c r="B471" s="1" t="s">
        <v>537</v>
      </c>
      <c r="C471" s="1" t="s">
        <v>509</v>
      </c>
      <c r="D471" s="1" t="s">
        <v>1684</v>
      </c>
      <c r="E471" s="27">
        <v>45545.0</v>
      </c>
      <c r="F471" s="1" t="s">
        <v>1685</v>
      </c>
      <c r="G471" s="7" t="s">
        <v>1686</v>
      </c>
      <c r="H471" s="16"/>
      <c r="I471" s="4" t="s">
        <v>1286</v>
      </c>
      <c r="J471" s="4" t="b">
        <v>0</v>
      </c>
      <c r="K471" s="4" t="b">
        <v>0</v>
      </c>
      <c r="L471" s="1" t="s">
        <v>1687</v>
      </c>
      <c r="M471" s="6"/>
      <c r="N471" s="1"/>
      <c r="O471" s="1" t="str">
        <f>IFERROR(__xludf.DUMMYFUNCTION("GOOGLETRANSLATE(F471,""zh-CN"",""zh-TW"") "),"網頁服務器和反向代理服務器 NGINX 是全球數百萬網站的基礎架構，是開源社群中的重要項目。
NGINX 原本使用 Mercurial 版本控制系統，官方現在宣布要將開發資源遷移至 GitHub，目的是要更接近全球開源社群，促進貢獻參與並提升專案協作效率。 NGINX項目轉移GitHub的重要性在於強調其開源承諾，期望擴大貢獻者數量和多樣性。
NGINX 母公司 F5 明確表示他們會使用 OSI 核准的授權，不會刪除現有項目或功能進行商業化，也不會對項目施加使用限制。")</f>
        <v>網頁服務器和反向代理服務器 NGINX 是全球數百萬網站的基礎架構，是開源社群中的重要項目。
NGINX 原本使用 Mercurial 版本控制系統，官方現在宣布要將開發資源遷移至 GitHub，目的是要更接近全球開源社群，促進貢獻參與並提升專案協作效率。 NGINX項目轉移GitHub的重要性在於強調其開源承諾，期望擴大貢獻者數量和多樣性。
NGINX 母公司 F5 明確表示他們會使用 OSI 核准的授權，不會刪除現有項目或功能進行商業化，也不會對項目施加使用限制。</v>
      </c>
      <c r="P471" s="1"/>
      <c r="Q471" s="1"/>
      <c r="R471" s="1"/>
      <c r="S471" s="1"/>
      <c r="T471" s="1"/>
      <c r="U471" s="1"/>
      <c r="V471" s="1"/>
      <c r="W471" s="1"/>
      <c r="X471" s="1"/>
      <c r="Y471" s="1"/>
      <c r="Z471" s="1"/>
      <c r="AA471" s="1"/>
      <c r="AB471" s="1"/>
    </row>
    <row r="472" hidden="1" outlineLevel="1">
      <c r="A472" s="1" t="s">
        <v>519</v>
      </c>
      <c r="B472" s="1" t="s">
        <v>809</v>
      </c>
      <c r="C472" s="1" t="s">
        <v>1688</v>
      </c>
      <c r="D472" s="1" t="s">
        <v>1689</v>
      </c>
      <c r="E472" s="27">
        <v>45526.0</v>
      </c>
      <c r="F472" s="1" t="s">
        <v>1690</v>
      </c>
      <c r="G472" s="7" t="s">
        <v>1691</v>
      </c>
      <c r="H472" s="16"/>
      <c r="I472" s="4" t="s">
        <v>1286</v>
      </c>
      <c r="J472" s="4" t="b">
        <v>0</v>
      </c>
      <c r="K472" s="4" t="b">
        <v>0</v>
      </c>
      <c r="L472" s="1" t="s">
        <v>1692</v>
      </c>
      <c r="M472" s="6"/>
      <c r="N472" s="1"/>
      <c r="O472" s="1" t="str">
        <f>IFERROR(__xludf.DUMMYFUNCTION("GOOGLETRANSLATE(F472,""zh-CN"",""zh-TW"") "),"此文介紹 OSI 所公佈的開源人工智能定義，以及此訊息的意義。
有關開源AI定義的幾項爭議：
-大公司在宣傳其LLM時會濫用開源一詞，即便難以證實。
-開源定義討論中，有關公共訓練資料(public training data)有爭議，最終妥協定案為：
開源模型提供有關訓練數據的信息，達到“技術人員可以使用相同或相似的數據重新創建基本等效的系統”的程度。")</f>
        <v>此文介紹 OSI 所公佈的開源人工智能定義，以及此訊息的意義。
有關開源AI定義的幾項爭議：
-大公司在宣傳其LLM時會濫用開源一詞，即便難以證實。
-開源定義討論中，有關公共訓練資料(public training data)有爭議，最終妥協定案為：
開源模型提供有關訓練數據的信息，達到“技術人員可以使用相同或相似的數據重新創建基本等效的系統”的程度。</v>
      </c>
      <c r="P472" s="1"/>
      <c r="Q472" s="1"/>
      <c r="R472" s="1"/>
      <c r="S472" s="1"/>
      <c r="T472" s="1"/>
      <c r="U472" s="1"/>
      <c r="V472" s="1"/>
      <c r="W472" s="1"/>
      <c r="X472" s="1"/>
      <c r="Y472" s="1"/>
      <c r="Z472" s="1"/>
      <c r="AA472" s="1"/>
      <c r="AB472" s="1"/>
    </row>
    <row r="473" hidden="1" outlineLevel="1">
      <c r="A473" s="1" t="s">
        <v>519</v>
      </c>
      <c r="B473" s="1" t="s">
        <v>520</v>
      </c>
      <c r="C473" s="1" t="s">
        <v>1693</v>
      </c>
      <c r="D473" s="1" t="s">
        <v>1694</v>
      </c>
      <c r="E473" s="27">
        <v>45544.0</v>
      </c>
      <c r="F473" s="17" t="s">
        <v>1695</v>
      </c>
      <c r="G473" s="7" t="s">
        <v>1696</v>
      </c>
      <c r="H473" s="16"/>
      <c r="I473" s="4" t="s">
        <v>1286</v>
      </c>
      <c r="J473" s="4" t="b">
        <v>0</v>
      </c>
      <c r="K473" s="4" t="b">
        <v>0</v>
      </c>
      <c r="L473" s="1" t="s">
        <v>1697</v>
      </c>
      <c r="M473" s="6"/>
      <c r="N473" s="1"/>
      <c r="O473" s="1" t="str">
        <f>IFERROR(__xludf.DUMMYFUNCTION("GOOGLETRANSLATE(F473,""zh-CN"",""zh-TW"") "),"此文提倡無程式碼開發，並提供開源平台比較表。依照可用性、可自訂性、可自訂性、社群支援、整合能力、成本與授權進行比較。
無程式碼開發平台提供拖放元素和預製組件等內容，使開發者只需將這些部分排列在一起即可設計和建立軟件。具有多種優勢：速度、可近性、經濟高效、靈活。
此文預期未來還會整合人工智慧、更好的協作工具、功能拓展以支援更多應用程序，使用戶可創新並開發適合特定行業需求的解決方案。")</f>
        <v>此文提倡無程式碼開發，並提供開源平台比較表。依照可用性、可自訂性、可自訂性、社群支援、整合能力、成本與授權進行比較。
無程式碼開發平台提供拖放元素和預製組件等內容，使開發者只需將這些部分排列在一起即可設計和建立軟件。具有多種優勢：速度、可近性、經濟高效、靈活。
此文預期未來還會整合人工智慧、更好的協作工具、功能拓展以支援更多應用程序，使用戶可創新並開發適合特定行業需求的解決方案。</v>
      </c>
      <c r="P473" s="1"/>
      <c r="Q473" s="1"/>
      <c r="R473" s="1"/>
      <c r="S473" s="1"/>
      <c r="T473" s="1"/>
      <c r="U473" s="1"/>
      <c r="V473" s="1"/>
      <c r="W473" s="1"/>
      <c r="X473" s="1"/>
      <c r="Y473" s="1"/>
      <c r="Z473" s="1"/>
      <c r="AA473" s="1"/>
      <c r="AB473" s="1"/>
    </row>
    <row r="474" hidden="1" outlineLevel="1">
      <c r="A474" s="1" t="s">
        <v>519</v>
      </c>
      <c r="B474" s="1" t="s">
        <v>520</v>
      </c>
      <c r="C474" s="1" t="s">
        <v>1698</v>
      </c>
      <c r="D474" s="1" t="s">
        <v>1699</v>
      </c>
      <c r="E474" s="27">
        <v>45534.0</v>
      </c>
      <c r="F474" s="1" t="s">
        <v>1700</v>
      </c>
      <c r="G474" s="7" t="s">
        <v>1701</v>
      </c>
      <c r="H474" s="110" t="s">
        <v>1702</v>
      </c>
      <c r="I474" s="4" t="s">
        <v>1286</v>
      </c>
      <c r="J474" s="4" t="b">
        <v>0</v>
      </c>
      <c r="K474" s="4" t="b">
        <v>0</v>
      </c>
      <c r="L474" s="1" t="s">
        <v>1703</v>
      </c>
      <c r="M474" s="6"/>
      <c r="N474" s="1"/>
      <c r="O474" s="1" t="str">
        <f>IFERROR(__xludf.DUMMYFUNCTION("GOOGLETRANSLATE(F474,""zh-CN"",""zh-TW"") "),"關於浮油與衛星：海洋溢油偵測開源指南
海洋石油污染的規模令人震驚，歐洲與地中海每年都有數千起石油洩漏事件，對海洋或沿海生態系統與相關產業的影響巨大。
此文介紹藉由了解石油的特性與洩漏形態，結合開源在衛星遙感傳感器(如光學傳感器和雷達傳感器)中的運用、地球觀測平台提供的免費光學影像，來收集地球表面數據。開源遙感社群(open-source remote sensing community)也有編寫程式碼作為相關資料視覺化。
注意有時衛星蒐集到的資料中也可能將自然現象誤判為石油。")</f>
        <v>關於浮油與衛星：海洋溢油偵測開源指南
海洋石油污染的規模令人震驚，歐洲與地中海每年都有數千起石油洩漏事件，對海洋或沿海生態系統與相關產業的影響巨大。
此文介紹藉由了解石油的特性與洩漏形態，結合開源在衛星遙感傳感器(如光學傳感器和雷達傳感器)中的運用、地球觀測平台提供的免費光學影像，來收集地球表面數據。開源遙感社群(open-source remote sensing community)也有編寫程式碼作為相關資料視覺化。
注意有時衛星蒐集到的資料中也可能將自然現象誤判為石油。</v>
      </c>
      <c r="P474" s="1"/>
      <c r="Q474" s="1"/>
      <c r="R474" s="1"/>
      <c r="S474" s="1"/>
      <c r="T474" s="1"/>
      <c r="U474" s="1"/>
      <c r="V474" s="1"/>
      <c r="W474" s="1"/>
      <c r="X474" s="1"/>
      <c r="Y474" s="1"/>
      <c r="Z474" s="1"/>
      <c r="AA474" s="1"/>
      <c r="AB474" s="1"/>
    </row>
    <row r="475" hidden="1" outlineLevel="1">
      <c r="A475" s="1" t="s">
        <v>507</v>
      </c>
      <c r="B475" s="1" t="s">
        <v>1704</v>
      </c>
      <c r="C475" s="1" t="s">
        <v>1705</v>
      </c>
      <c r="D475" s="25" t="s">
        <v>1706</v>
      </c>
      <c r="E475" s="27">
        <v>45549.0</v>
      </c>
      <c r="F475" s="1" t="s">
        <v>1707</v>
      </c>
      <c r="G475" s="7" t="s">
        <v>1708</v>
      </c>
      <c r="H475" s="16"/>
      <c r="I475" s="4" t="s">
        <v>1286</v>
      </c>
      <c r="J475" s="4"/>
      <c r="K475" s="4"/>
      <c r="L475" s="1" t="s">
        <v>1709</v>
      </c>
      <c r="M475" s="6"/>
      <c r="N475" s="1"/>
      <c r="O475" s="1" t="str">
        <f>IFERROR(__xludf.DUMMYFUNCTION("GOOGLETRANSLATE(F475,""zh-CN"",""zh-TW"") "),"此活動中林強提到對 CC 授權的看法：希望音樂能與大眾分享，而不是被版權束縛。因此過去他將《向前走》的詞曲無償分享給任何人重新編曲或創作，這種共享精神代表了他對開源文化的支持。
但他也指出，儘管 CC 授權的推廣初期效果良好，但隨著時間推移，相關的資源與平台逐漸減少，台灣目前缺乏一個穩定的共享平台讓創作者方便上傳與分享作品。林強呼籲政府和民間能建立一個能長期維護的創用 CC 平台。")</f>
        <v>此活動中林強提到對 CC 授權的看法：希望音樂能與大眾分享，而不是被版權束縛。因此過去他將《向前走》的詞曲無償分享給任何人重新編曲或創作，這種共享精神代表了他對開源文化的支持。
但他也指出，儘管 CC 授權的推廣初期效果良好，但隨著時間推移，相關的資源與平台逐漸減少，台灣目前缺乏一個穩定的共享平台讓創作者方便上傳與分享作品。林強呼籲政府和民間能建立一個能長期維護的創用 CC 平台。</v>
      </c>
      <c r="P475" s="1"/>
      <c r="Q475" s="1"/>
      <c r="R475" s="1"/>
      <c r="S475" s="1"/>
      <c r="T475" s="1"/>
      <c r="U475" s="1"/>
      <c r="V475" s="1"/>
      <c r="W475" s="1"/>
      <c r="X475" s="1"/>
      <c r="Y475" s="1"/>
      <c r="Z475" s="1"/>
      <c r="AA475" s="1"/>
      <c r="AB475" s="1"/>
    </row>
    <row r="476" hidden="1" outlineLevel="1">
      <c r="A476" s="1" t="s">
        <v>519</v>
      </c>
      <c r="B476" s="1" t="s">
        <v>537</v>
      </c>
      <c r="C476" s="1" t="s">
        <v>1710</v>
      </c>
      <c r="D476" s="1" t="s">
        <v>1711</v>
      </c>
      <c r="E476" s="27">
        <v>45524.0</v>
      </c>
      <c r="F476" s="1" t="s">
        <v>1712</v>
      </c>
      <c r="G476" s="7" t="s">
        <v>1713</v>
      </c>
      <c r="H476" s="16"/>
      <c r="I476" s="4" t="s">
        <v>1305</v>
      </c>
      <c r="J476" s="4" t="b">
        <v>0</v>
      </c>
      <c r="K476" s="4" t="b">
        <v>0</v>
      </c>
      <c r="L476" s="1"/>
      <c r="M476" s="6"/>
      <c r="N476" s="1"/>
      <c r="O476" s="1" t="str">
        <f>IFERROR(__xludf.DUMMYFUNCTION("GOOGLETRANSLATE(F476,""zh-CN"",""zh-TW"") "),"新創公司 Briefer 分享如何將產品維持開源，同時與大公司 saleforce 及微軟競爭，又能說服開源社群的信任與貢獻。他們認為，善待用戶是賺錢的最佳途徑，而賺錢又是善待用戶的最佳方式。因為金錢能讓公司投資改善開源產品，為更多人提供更好的開源服務。
")</f>
        <v>新創公司 Briefer 分享如何將產品維持開源，同時與大公司 saleforce 及微軟競爭，又能說服開源社群的信任與貢獻。他們認為，善待用戶是賺錢的最佳途徑，而賺錢又是善待用戶的最佳方式。因為金錢能讓公司投資改善開源產品，為更多人提供更好的開源服務。
</v>
      </c>
      <c r="P476" s="1"/>
      <c r="Q476" s="1"/>
      <c r="R476" s="1"/>
      <c r="S476" s="1"/>
      <c r="T476" s="1"/>
      <c r="U476" s="1"/>
      <c r="V476" s="1"/>
      <c r="W476" s="1"/>
      <c r="X476" s="1"/>
      <c r="Y476" s="1"/>
      <c r="Z476" s="1"/>
      <c r="AA476" s="1"/>
      <c r="AB476" s="1"/>
    </row>
    <row r="477" hidden="1" outlineLevel="1">
      <c r="A477" s="1" t="s">
        <v>507</v>
      </c>
      <c r="B477" s="1" t="s">
        <v>520</v>
      </c>
      <c r="C477" s="1" t="s">
        <v>1714</v>
      </c>
      <c r="D477" s="1" t="s">
        <v>1715</v>
      </c>
      <c r="E477" s="27">
        <v>45537.0</v>
      </c>
      <c r="F477" s="1" t="s">
        <v>1716</v>
      </c>
      <c r="G477" s="7" t="s">
        <v>1717</v>
      </c>
      <c r="H477" s="16"/>
      <c r="I477" s="4" t="s">
        <v>1305</v>
      </c>
      <c r="J477" s="4" t="b">
        <v>0</v>
      </c>
      <c r="K477" s="4" t="b">
        <v>0</v>
      </c>
      <c r="L477" s="1"/>
      <c r="M477" s="6"/>
      <c r="N477" s="1"/>
      <c r="O477" s="1" t="str">
        <f>IFERROR(__xludf.DUMMYFUNCTION("GOOGLETRANSLATE(F477,""zh-CN"",""zh-TW"") "),"阻礙科學家以更容易重複使用的方式分享開放資料的元兇之一，是那不起眼的 PDF 檔案，也是科學期刊常用的資料格式。這個議題的提出源自於機器學習的爆炸性成長。化學家說，如果沒有適當的數據來訓練算法，我們連起跑線都無法到達。我們就像是裝了購物推車輪子的保時捷，根本無法前進。在結晶學領域，情況已經相當領先。早在一九九十年代，該社群就投入時間和精力發展資料共享方法。從一個結晶結構資料庫，發展出描述資料的通用語言，進而形成信息檔案格式。開放科學不僅是資料共享，更是一種根本不同且更具協作性的科學工作方式，有望加速進展。"&amp;"文章中的科學家還說，如果我們能正確管理、匯集和索引資料，未來化學家將運用開放資料和機器學習工具來測試假設，最後才進入實驗室確認結果，這樣高效率的未來就不遙遠了。")</f>
        <v>阻礙科學家以更容易重複使用的方式分享開放資料的元兇之一，是那不起眼的 PDF 檔案，也是科學期刊常用的資料格式。這個議題的提出源自於機器學習的爆炸性成長。化學家說，如果沒有適當的數據來訓練算法，我們連起跑線都無法到達。我們就像是裝了購物推車輪子的保時捷，根本無法前進。在結晶學領域，情況已經相當領先。早在一九九十年代，該社群就投入時間和精力發展資料共享方法。從一個結晶結構資料庫，發展出描述資料的通用語言，進而形成信息檔案格式。開放科學不僅是資料共享，更是一種根本不同且更具協作性的科學工作方式，有望加速進展。文章中的科學家還說，如果我們能正確管理、匯集和索引資料，未來化學家將運用開放資料和機器學習工具來測試假設，最後才進入實驗室確認結果，這樣高效率的未來就不遙遠了。</v>
      </c>
      <c r="P477" s="1"/>
      <c r="Q477" s="1"/>
      <c r="R477" s="1"/>
      <c r="S477" s="1"/>
      <c r="T477" s="1"/>
      <c r="U477" s="1"/>
      <c r="V477" s="1"/>
      <c r="W477" s="1"/>
      <c r="X477" s="1"/>
      <c r="Y477" s="1"/>
      <c r="Z477" s="1"/>
      <c r="AA477" s="1"/>
      <c r="AB477" s="1"/>
    </row>
    <row r="478" hidden="1" outlineLevel="1">
      <c r="A478" s="1" t="s">
        <v>519</v>
      </c>
      <c r="B478" s="1" t="s">
        <v>537</v>
      </c>
      <c r="C478" s="1" t="s">
        <v>1021</v>
      </c>
      <c r="D478" s="1" t="s">
        <v>1718</v>
      </c>
      <c r="E478" s="27">
        <v>45557.0</v>
      </c>
      <c r="F478" s="17" t="s">
        <v>1719</v>
      </c>
      <c r="G478" s="7" t="s">
        <v>1720</v>
      </c>
      <c r="H478" s="16"/>
      <c r="I478" s="4" t="s">
        <v>1305</v>
      </c>
      <c r="J478" s="4" t="b">
        <v>0</v>
      </c>
      <c r="K478" s="4" t="b">
        <v>0</v>
      </c>
      <c r="L478" s="1"/>
      <c r="M478" s="6"/>
      <c r="N478" s="1" t="s">
        <v>1721</v>
      </c>
      <c r="O478" s="1" t="str">
        <f>IFERROR(__xludf.DUMMYFUNCTION("GOOGLETRANSLATE(F478,""zh-CN"",""zh-TW"") "),"Linux 的關鍵人物林納斯·托瓦茲表示，儘管開源軟件開發領域長期存在倦怠問題，但 Linux 依然強勁 — 不過他承認自己的項目可能因其規模和範圍而有些特殊。 「我認為我們擁有大量開發者，是因為我們一直有很多能幹的人可以站出來，」托瓦茲說。不過，托瓦茲也承認，這樣的生態系統對年輕或經驗較淺的開發者而言可能令人望而生畏，尤其是看到那些已經待了很久的老將。但儘管如此，仍有新進者設法進入 Linux 專案的核心。
「確實，Linux 核心維護者正在變老，但這有正面意義，」托瓦茲說。 「有多少開源專案的維護者已"&amp;"經持續工作超過三十年？這很不尋常。人們說『開發者會倦怠並離開』 — 沒錯，這很正常。不正常的是有人能夠持續數十年；這是很特別的事，我認為在某種程度上是個好現象。」
「我們有負責主要子系統的核心開發者，他們只用幾年就成長起來，」托瓦茲說。 「不是立即發生，但有新人進來，三年後就成為主要開發者。這絕對可能。我認為我們有相當健康的開發者子系統。那些老掉牙、頭髮已經白的傢伙 — 我不認為這是大問題。」
另外，Linux 一直是以 C 語言為中心的核心系統，但在 2022 年，該項目正式支援 Rust — 一種由"&amp;"許多知名科技公司支援的通用型開源程式語言。就在幾週前，Rust for Linux 項目負責人宣布卸任，因為他已經「缺乏能量和熱情」來處理項目周圍的「非技術性瑣事」。")</f>
        <v>Linux 的關鍵人物林納斯·托瓦茲表示，儘管開源軟件開發領域長期存在倦怠問題，但 Linux 依然強勁 — 不過他承認自己的項目可能因其規模和範圍而有些特殊。 「我認為我們擁有大量開發者，是因為我們一直有很多能幹的人可以站出來，」托瓦茲說。不過，托瓦茲也承認，這樣的生態系統對年輕或經驗較淺的開發者而言可能令人望而生畏，尤其是看到那些已經待了很久的老將。但儘管如此，仍有新進者設法進入 Linux 專案的核心。
「確實，Linux 核心維護者正在變老，但這有正面意義，」托瓦茲說。 「有多少開源專案的維護者已經持續工作超過三十年？這很不尋常。人們說『開發者會倦怠並離開』 — 沒錯，這很正常。不正常的是有人能夠持續數十年；這是很特別的事，我認為在某種程度上是個好現象。」
「我們有負責主要子系統的核心開發者，他們只用幾年就成長起來，」托瓦茲說。 「不是立即發生，但有新人進來，三年後就成為主要開發者。這絕對可能。我認為我們有相當健康的開發者子系統。那些老掉牙、頭髮已經白的傢伙 — 我不認為這是大問題。」
另外，Linux 一直是以 C 語言為中心的核心系統，但在 2022 年，該項目正式支援 Rust — 一種由許多知名科技公司支援的通用型開源程式語言。就在幾週前，Rust for Linux 項目負責人宣布卸任，因為他已經「缺乏能量和熱情」來處理項目周圍的「非技術性瑣事」。</v>
      </c>
      <c r="P478" s="1"/>
      <c r="Q478" s="1"/>
      <c r="R478" s="1"/>
      <c r="S478" s="1"/>
      <c r="T478" s="1"/>
      <c r="U478" s="1"/>
      <c r="V478" s="1"/>
      <c r="W478" s="1"/>
      <c r="X478" s="1"/>
      <c r="Y478" s="1"/>
      <c r="Z478" s="1"/>
      <c r="AA478" s="1"/>
      <c r="AB478" s="1"/>
    </row>
    <row r="479" hidden="1" outlineLevel="1">
      <c r="A479" s="1" t="s">
        <v>519</v>
      </c>
      <c r="B479" s="1" t="s">
        <v>1089</v>
      </c>
      <c r="C479" s="1" t="s">
        <v>1722</v>
      </c>
      <c r="D479" s="1" t="s">
        <v>1723</v>
      </c>
      <c r="E479" s="27"/>
      <c r="F479" s="1" t="s">
        <v>1724</v>
      </c>
      <c r="G479" s="7" t="s">
        <v>1725</v>
      </c>
      <c r="H479" s="16"/>
      <c r="I479" s="4" t="s">
        <v>1305</v>
      </c>
      <c r="J479" s="4" t="b">
        <v>0</v>
      </c>
      <c r="K479" s="4" t="b">
        <v>0</v>
      </c>
      <c r="L479" s="1"/>
      <c r="M479" s="6"/>
      <c r="N479" s="1"/>
      <c r="O479" s="1" t="str">
        <f>IFERROR(__xludf.DUMMYFUNCTION("GOOGLETRANSLATE(F479,""zh-CN"",""zh-TW"") "),"做幻燈片或網頁需要 icon 嗎？從 Apache 到 CC-BY，這裡的所有 icon 圖標通通都開源")</f>
        <v>做幻燈片或網頁需要 icon 嗎？從 Apache 到 CC-BY，這裡的所有 icon 圖標通通都開源</v>
      </c>
      <c r="P479" s="1"/>
      <c r="Q479" s="1"/>
      <c r="R479" s="1"/>
      <c r="S479" s="1"/>
      <c r="T479" s="1"/>
      <c r="U479" s="1"/>
      <c r="V479" s="1"/>
      <c r="W479" s="1"/>
      <c r="X479" s="1"/>
      <c r="Y479" s="1"/>
      <c r="Z479" s="1"/>
      <c r="AA479" s="1"/>
      <c r="AB479" s="1"/>
    </row>
    <row r="480" collapsed="1">
      <c r="A480" s="1"/>
      <c r="B480" s="1"/>
      <c r="C480" s="1"/>
      <c r="D480" s="1"/>
      <c r="E480" s="94" t="s">
        <v>1726</v>
      </c>
      <c r="F480" s="1"/>
      <c r="G480" s="5"/>
      <c r="H480" s="16"/>
      <c r="I480" s="4"/>
      <c r="J480" s="4" t="b">
        <v>0</v>
      </c>
      <c r="K480" s="4" t="b">
        <v>0</v>
      </c>
      <c r="L480" s="1"/>
      <c r="M480" s="6"/>
      <c r="N480" s="1"/>
      <c r="O480" s="1" t="str">
        <f>IFERROR(__xludf.DUMMYFUNCTION("GOOGLETRANSLATE(F480,""zh-CN"",""zh-TW"") "),"#VALUE!")</f>
        <v>#VALUE!</v>
      </c>
      <c r="P480" s="1"/>
      <c r="Q480" s="1"/>
      <c r="R480" s="1"/>
      <c r="S480" s="1"/>
      <c r="T480" s="1"/>
      <c r="U480" s="1"/>
      <c r="V480" s="1"/>
      <c r="W480" s="1"/>
      <c r="X480" s="1"/>
      <c r="Y480" s="1"/>
      <c r="Z480" s="1"/>
      <c r="AA480" s="1"/>
      <c r="AB480" s="1"/>
    </row>
    <row r="481" hidden="1" outlineLevel="1">
      <c r="A481" s="1" t="s">
        <v>519</v>
      </c>
      <c r="B481" s="1" t="s">
        <v>1727</v>
      </c>
      <c r="C481" s="1" t="s">
        <v>509</v>
      </c>
      <c r="D481" s="111" t="s">
        <v>1728</v>
      </c>
      <c r="E481" s="27">
        <v>45559.0</v>
      </c>
      <c r="F481" s="1" t="s">
        <v>1729</v>
      </c>
      <c r="G481" s="7" t="s">
        <v>1730</v>
      </c>
      <c r="H481" s="16"/>
      <c r="I481" s="4" t="s">
        <v>1286</v>
      </c>
      <c r="J481" s="4" t="b">
        <v>0</v>
      </c>
      <c r="K481" s="4" t="b">
        <v>0</v>
      </c>
      <c r="L481" s="1"/>
      <c r="M481" s="6"/>
      <c r="N481" s="1" t="s">
        <v>1731</v>
      </c>
      <c r="O481" s="1" t="str">
        <f>IFERROR(__xludf.DUMMYFUNCTION("GOOGLETRANSLATE(F481,""zh-CN"",""zh-TW"") "),"微軟宣布從著色器程式開發標準Shader Model 7開始，逐步以SPIR-V取代DXIL，而這代表DirectX 12後將走向開放標準的道路。微軟和Khronos、Google等組織合作，計畫透過這項改變推動GPU編程創新，同時加速新硬件功能的普及，進一步提升開發者的生產力。
由於 SPIR-V核心設計具有良好的可擴充性，因此可以更好地支援GPU API新功能，透過統一標準中介格式，開發者無論是在Direct3D還是其他繪圖API，都能夠更快地採用新功能。而對於硬體供應商和微軟本身來說，也可以將資源"&amp;"投入在差異化功能開發，而不需要重新建構受廣泛支援的基礎功能。")</f>
        <v>微軟宣布從著色器程式開發標準Shader Model 7開始，逐步以SPIR-V取代DXIL，而這代表DirectX 12後將走向開放標準的道路。微軟和Khronos、Google等組織合作，計畫透過這項改變推動GPU編程創新，同時加速新硬件功能的普及，進一步提升開發者的生產力。
由於 SPIR-V核心設計具有良好的可擴充性，因此可以更好地支援GPU API新功能，透過統一標準中介格式，開發者無論是在Direct3D還是其他繪圖API，都能夠更快地採用新功能。而對於硬體供應商和微軟本身來說，也可以將資源投入在差異化功能開發，而不需要重新建構受廣泛支援的基礎功能。</v>
      </c>
      <c r="P481" s="1"/>
      <c r="Q481" s="1"/>
      <c r="R481" s="1"/>
      <c r="S481" s="1"/>
      <c r="T481" s="1"/>
      <c r="U481" s="1"/>
      <c r="V481" s="1"/>
      <c r="W481" s="1"/>
      <c r="X481" s="1"/>
      <c r="Y481" s="1"/>
      <c r="Z481" s="1"/>
      <c r="AA481" s="1"/>
      <c r="AB481" s="1"/>
    </row>
    <row r="482" hidden="1" outlineLevel="1">
      <c r="A482" s="1" t="s">
        <v>519</v>
      </c>
      <c r="B482" s="1" t="s">
        <v>529</v>
      </c>
      <c r="C482" s="1" t="s">
        <v>509</v>
      </c>
      <c r="D482" s="1" t="s">
        <v>1732</v>
      </c>
      <c r="E482" s="27">
        <v>45553.0</v>
      </c>
      <c r="F482" s="17" t="s">
        <v>1733</v>
      </c>
      <c r="G482" s="7" t="s">
        <v>1734</v>
      </c>
      <c r="H482" s="16"/>
      <c r="I482" s="4" t="s">
        <v>1286</v>
      </c>
      <c r="J482" s="4" t="b">
        <v>0</v>
      </c>
      <c r="K482" s="4" t="b">
        <v>0</v>
      </c>
      <c r="L482" s="1"/>
      <c r="M482" s="6"/>
      <c r="N482" s="1" t="s">
        <v>1735</v>
      </c>
      <c r="O482" s="1" t="str">
        <f>IFERROR(__xludf.DUMMYFUNCTION("GOOGLETRANSLATE(F482,""zh-CN"",""zh-TW"") "),"AWS將OpenSearch項目轉移至Linux基金會底下中立非營利基金會，以實現由社群主導的開放式治理模型，並且繼續在GitHub上維護，以及採用Apache 2.0授權。
OpenSearch轉移的重點在於強化社群參與，降低專案受單一供應商的影響，確保專案能夠繼續推進。這些變化讓OpenSearch的治理模式更加透明，也擴大來自AWS以外的貢獻者參與。")</f>
        <v>AWS將OpenSearch項目轉移至Linux基金會底下中立非營利基金會，以實現由社群主導的開放式治理模型，並且繼續在GitHub上維護，以及採用Apache 2.0授權。
OpenSearch轉移的重點在於強化社群參與，降低專案受單一供應商的影響，確保專案能夠繼續推進。這些變化讓OpenSearch的治理模式更加透明，也擴大來自AWS以外的貢獻者參與。</v>
      </c>
      <c r="P482" s="1"/>
      <c r="Q482" s="1"/>
      <c r="R482" s="1"/>
      <c r="S482" s="1"/>
      <c r="T482" s="1"/>
      <c r="U482" s="1"/>
      <c r="V482" s="1"/>
      <c r="W482" s="1"/>
      <c r="X482" s="1"/>
      <c r="Y482" s="1"/>
      <c r="Z482" s="1"/>
      <c r="AA482" s="1"/>
      <c r="AB482" s="1"/>
    </row>
    <row r="483" hidden="1" outlineLevel="1">
      <c r="A483" s="1" t="s">
        <v>519</v>
      </c>
      <c r="B483" s="1" t="s">
        <v>1089</v>
      </c>
      <c r="C483" s="1" t="s">
        <v>1736</v>
      </c>
      <c r="D483" s="1" t="s">
        <v>1737</v>
      </c>
      <c r="E483" s="28" t="s">
        <v>150</v>
      </c>
      <c r="F483" s="1" t="s">
        <v>1738</v>
      </c>
      <c r="G483" s="7" t="s">
        <v>1739</v>
      </c>
      <c r="H483" s="16"/>
      <c r="I483" s="4" t="s">
        <v>1305</v>
      </c>
      <c r="J483" s="4" t="b">
        <v>0</v>
      </c>
      <c r="K483" s="4" t="b">
        <v>0</v>
      </c>
      <c r="L483" s="1"/>
      <c r="M483" s="6"/>
      <c r="N483" s="1" t="s">
        <v>1735</v>
      </c>
      <c r="O483" s="1" t="str">
        <f>IFERROR(__xludf.DUMMYFUNCTION("GOOGLETRANSLATE(F483,""zh-CN"",""zh-TW"") "),"OWASP Juice Shop 是 OWASP 基金會的開源專案。它被廣泛運用於資安訓練、資安案例及搶旗（Capture The Flag，簡稱 CTF）活動，成為測試資安工具和常見資安漏洞的教材。 Juice Shop 納入了整個 OWASP 前十大資安風險，讓使用者深入了解真實世界的 web app 資安缺陷。這個開源計畫對所有想要提升資安知識與技能的人都是開放的，並透過促進資安實踐的協作與創新，為更安全的開源生態系統做出貢獻。")</f>
        <v>OWASP Juice Shop 是 OWASP 基金會的開源專案。它被廣泛運用於資安訓練、資安案例及搶旗（Capture The Flag，簡稱 CTF）活動，成為測試資安工具和常見資安漏洞的教材。 Juice Shop 納入了整個 OWASP 前十大資安風險，讓使用者深入了解真實世界的 web app 資安缺陷。這個開源計畫對所有想要提升資安知識與技能的人都是開放的，並透過促進資安實踐的協作與創新，為更安全的開源生態系統做出貢獻。</v>
      </c>
      <c r="P483" s="1"/>
      <c r="Q483" s="1"/>
      <c r="R483" s="1"/>
      <c r="S483" s="1"/>
      <c r="T483" s="1"/>
      <c r="U483" s="1"/>
      <c r="V483" s="1"/>
      <c r="W483" s="1"/>
      <c r="X483" s="1"/>
      <c r="Y483" s="1"/>
      <c r="Z483" s="1"/>
      <c r="AA483" s="1"/>
      <c r="AB483" s="1"/>
    </row>
    <row r="484" hidden="1" outlineLevel="1">
      <c r="A484" s="1" t="s">
        <v>519</v>
      </c>
      <c r="B484" s="1" t="s">
        <v>1740</v>
      </c>
      <c r="C484" s="7" t="s">
        <v>1741</v>
      </c>
      <c r="D484" s="1" t="s">
        <v>1742</v>
      </c>
      <c r="E484" s="27">
        <v>45589.0</v>
      </c>
      <c r="F484" s="17" t="s">
        <v>1743</v>
      </c>
      <c r="G484" s="7" t="s">
        <v>1744</v>
      </c>
      <c r="H484" s="16"/>
      <c r="I484" s="4" t="s">
        <v>1305</v>
      </c>
      <c r="J484" s="4" t="b">
        <v>0</v>
      </c>
      <c r="K484" s="4" t="b">
        <v>0</v>
      </c>
      <c r="L484" s="1"/>
      <c r="M484" s="6"/>
      <c r="N484" s="1"/>
      <c r="O484" s="1"/>
      <c r="P484" s="1"/>
      <c r="Q484" s="1"/>
      <c r="R484" s="1"/>
      <c r="S484" s="1"/>
      <c r="T484" s="1"/>
      <c r="U484" s="1"/>
      <c r="V484" s="1"/>
      <c r="W484" s="1"/>
      <c r="X484" s="1"/>
      <c r="Y484" s="1"/>
      <c r="Z484" s="1"/>
      <c r="AA484" s="1"/>
      <c r="AB484" s="1"/>
    </row>
    <row r="485" hidden="1" outlineLevel="1">
      <c r="A485" s="1" t="s">
        <v>574</v>
      </c>
      <c r="B485" s="1" t="s">
        <v>1745</v>
      </c>
      <c r="C485" s="1" t="s">
        <v>1746</v>
      </c>
      <c r="D485" s="1" t="s">
        <v>1747</v>
      </c>
      <c r="E485" s="58">
        <v>45558.0</v>
      </c>
      <c r="F485" s="1" t="s">
        <v>1748</v>
      </c>
      <c r="G485" s="7" t="s">
        <v>1749</v>
      </c>
      <c r="H485" s="16"/>
      <c r="I485" s="4" t="s">
        <v>1286</v>
      </c>
      <c r="J485" s="4" t="b">
        <v>0</v>
      </c>
      <c r="K485" s="4" t="b">
        <v>0</v>
      </c>
      <c r="L485" s="1"/>
      <c r="M485" s="6"/>
      <c r="N485" s="1" t="s">
        <v>1735</v>
      </c>
      <c r="O485" s="1" t="str">
        <f>IFERROR(__xludf.DUMMYFUNCTION("GOOGLETRANSLATE(F485,""zh-CN"",""zh-TW"") "),"這篇論文「人工智能作為開放政府資料生態系統的催化劑：類型學理論方法」透過系統性回顧對文獻進行綜合，探討並建構了人工智能如何豐富「人工智能與開放政府資料（OGD）」 計畫。由此產生的概念框架確定了OGD 的八種理想的人工智能應用類型：人工智能作為門戶管理者、瀏覽器、鏈接器和監視器，以及人工智能作為生態系統數據檢索器、連接器、價值開發者和參與者。")</f>
        <v>這篇論文「人工智能作為開放政府資料生態系統的催化劑：類型學理論方法」透過系統性回顧對文獻進行綜合，探討並建構了人工智能如何豐富「人工智能與開放政府資料（OGD）」 計畫。由此產生的概念框架確定了OGD 的八種理想的人工智能應用類型：人工智能作為門戶管理者、瀏覽器、鏈接器和監視器，以及人工智能作為生態系統數據檢索器、連接器、價值開發者和參與者。</v>
      </c>
      <c r="P485" s="1"/>
      <c r="Q485" s="1"/>
      <c r="R485" s="1"/>
      <c r="S485" s="1"/>
      <c r="T485" s="1"/>
      <c r="U485" s="1"/>
      <c r="V485" s="1"/>
      <c r="W485" s="1"/>
      <c r="X485" s="1"/>
      <c r="Y485" s="1"/>
      <c r="Z485" s="1"/>
      <c r="AA485" s="1"/>
      <c r="AB485" s="1"/>
    </row>
    <row r="486" hidden="1" outlineLevel="1">
      <c r="A486" s="1" t="s">
        <v>519</v>
      </c>
      <c r="B486" s="1" t="s">
        <v>599</v>
      </c>
      <c r="C486" s="1" t="s">
        <v>1750</v>
      </c>
      <c r="D486" s="1" t="s">
        <v>1751</v>
      </c>
      <c r="E486" s="27">
        <v>45560.0</v>
      </c>
      <c r="F486" s="1" t="s">
        <v>1752</v>
      </c>
      <c r="G486" s="7" t="s">
        <v>1753</v>
      </c>
      <c r="H486" s="9" t="s">
        <v>1753</v>
      </c>
      <c r="I486" s="4" t="s">
        <v>1305</v>
      </c>
      <c r="J486" s="4" t="b">
        <v>0</v>
      </c>
      <c r="K486" s="4" t="b">
        <v>0</v>
      </c>
      <c r="L486" s="1"/>
      <c r="M486" s="6"/>
      <c r="N486" s="1" t="s">
        <v>1754</v>
      </c>
      <c r="O486" s="1" t="str">
        <f>IFERROR(__xludf.DUMMYFUNCTION("GOOGLETRANSLATE(F486,""zh-CN"",""zh-TW"") "),"社群網路基金會的成立，標誌著推廣開放原始碼社群網站的重要里程碑。去中心化社群網絡生態系統「聯邦宇宙」，該系統建立在開放標準之上，不受私有社群網站或監視資本主義的影響。
Mastodon 這樣的生態系統反映了開放標準的價值，讓使用者可以享受追蹤帳號的時間序列動態，不受演算法操縱或商業化推廣的干擾。社群網絡基金會作為非營利組織，推進社群網絡的發展。這個被稱為「聯邦宇宙」的網絡，由透過 ActivityPub 通訊協定互通的自主社群平台所組成，該協定自 2018 年起已被認可為 W3C 標準。這種架構使不同平"&amp;"台的使用者能夠無縫互動。
該基金會將現狀類比為互聯網早期，當時開放性和協作性至關重要。透過提倡以 W3C 為基礎的開放標準和分散式解決方案，此倡議對抗了企業壟斷。眾多企業的支持對於重振一個不受算法和企業影響的公共空間至關重要。")</f>
        <v>社群網路基金會的成立，標誌著推廣開放原始碼社群網站的重要里程碑。去中心化社群網絡生態系統「聯邦宇宙」，該系統建立在開放標準之上，不受私有社群網站或監視資本主義的影響。
Mastodon 這樣的生態系統反映了開放標準的價值，讓使用者可以享受追蹤帳號的時間序列動態，不受演算法操縱或商業化推廣的干擾。社群網絡基金會作為非營利組織，推進社群網絡的發展。這個被稱為「聯邦宇宙」的網絡，由透過 ActivityPub 通訊協定互通的自主社群平台所組成，該協定自 2018 年起已被認可為 W3C 標準。這種架構使不同平台的使用者能夠無縫互動。
該基金會將現狀類比為互聯網早期，當時開放性和協作性至關重要。透過提倡以 W3C 為基礎的開放標準和分散式解決方案，此倡議對抗了企業壟斷。眾多企業的支持對於重振一個不受算法和企業影響的公共空間至關重要。</v>
      </c>
      <c r="P486" s="1"/>
      <c r="Q486" s="1"/>
      <c r="R486" s="1"/>
      <c r="S486" s="1"/>
      <c r="T486" s="1"/>
      <c r="U486" s="1"/>
      <c r="V486" s="1"/>
      <c r="W486" s="1"/>
      <c r="X486" s="1"/>
      <c r="Y486" s="1"/>
      <c r="Z486" s="1"/>
      <c r="AA486" s="1"/>
      <c r="AB486" s="1"/>
    </row>
    <row r="487" hidden="1" outlineLevel="1">
      <c r="A487" s="1" t="s">
        <v>519</v>
      </c>
      <c r="B487" s="1" t="s">
        <v>1755</v>
      </c>
      <c r="C487" s="1" t="s">
        <v>1021</v>
      </c>
      <c r="D487" s="1" t="s">
        <v>1756</v>
      </c>
      <c r="E487" s="27">
        <v>45561.0</v>
      </c>
      <c r="F487" s="17" t="s">
        <v>1757</v>
      </c>
      <c r="G487" s="7" t="s">
        <v>1758</v>
      </c>
      <c r="H487" s="16"/>
      <c r="I487" s="4" t="s">
        <v>1305</v>
      </c>
      <c r="J487" s="4" t="b">
        <v>0</v>
      </c>
      <c r="K487" s="4" t="b">
        <v>0</v>
      </c>
      <c r="L487" s="1"/>
      <c r="M487" s="6"/>
      <c r="N487" s="1"/>
      <c r="O487" s="1" t="str">
        <f>IFERROR(__xludf.DUMMYFUNCTION("GOOGLETRANSLATE(F487,""zh-CN"",""zh-TW"") "),"Tor 專案宣布與 Tails 策略性合併，Tails 是一款強調使用者隱私與匿名性的可攜式 Linux 作業系統。此合作應運而生，背景是全球對數字監控的持續關切、挑戰端對端加密的法規壓力，以及持續的線上服務審查。
作為整合的一部分，Tails 將成為 Tor 專案組織架構的一個元件。 Tor 專案的公關暨通訊總監 Pavel Zoneff 表示，這項架構調整旨在促進更順暢的協作、提升可持續性、降低營運成本，並擴大培訓與推廣計劃，以更好地應對各種數字威脅。
Tails 於 2009 年推出，是一款基於"&amp;" Debian 的 Linux 發行版，內建桌面環境。它設計為便攜式，可從 USB 驅動器等裝置工作，將數字足跡降至最低。 Tails 本質上透過 Tor 連接互聯網，並獲得包括 Tor 項目在內的多個組織的資金和支援。
這次合併邏輯上源自於兩個項目對線上隱私的共同承諾，以及彼此交織的歷史。對於容易遭受數字監控的族群，包括常成為線上追蹤目標的行動主義者和記者，這項合併可望帶來重大利益。愛德華·斯諾登曾公開支持這兩個平台，並在揭發 NSA 的活動中使用 Tails。")</f>
        <v>Tor 專案宣布與 Tails 策略性合併，Tails 是一款強調使用者隱私與匿名性的可攜式 Linux 作業系統。此合作應運而生，背景是全球對數字監控的持續關切、挑戰端對端加密的法規壓力，以及持續的線上服務審查。
作為整合的一部分，Tails 將成為 Tor 專案組織架構的一個元件。 Tor 專案的公關暨通訊總監 Pavel Zoneff 表示，這項架構調整旨在促進更順暢的協作、提升可持續性、降低營運成本，並擴大培訓與推廣計劃，以更好地應對各種數字威脅。
Tails 於 2009 年推出，是一款基於 Debian 的 Linux 發行版，內建桌面環境。它設計為便攜式，可從 USB 驅動器等裝置工作，將數字足跡降至最低。 Tails 本質上透過 Tor 連接互聯網，並獲得包括 Tor 項目在內的多個組織的資金和支援。
這次合併邏輯上源自於兩個項目對線上隱私的共同承諾，以及彼此交織的歷史。對於容易遭受數字監控的族群，包括常成為線上追蹤目標的行動主義者和記者，這項合併可望帶來重大利益。愛德華·斯諾登曾公開支持這兩個平台，並在揭發 NSA 的活動中使用 Tails。</v>
      </c>
      <c r="P487" s="1"/>
      <c r="Q487" s="1"/>
      <c r="R487" s="1"/>
      <c r="S487" s="1"/>
      <c r="T487" s="1"/>
      <c r="U487" s="1"/>
      <c r="V487" s="1"/>
      <c r="W487" s="1"/>
      <c r="X487" s="1"/>
      <c r="Y487" s="1"/>
      <c r="Z487" s="1"/>
      <c r="AA487" s="1"/>
      <c r="AB487" s="1"/>
    </row>
    <row r="488" ht="333.0" hidden="1" customHeight="1" outlineLevel="1">
      <c r="A488" s="1" t="s">
        <v>519</v>
      </c>
      <c r="B488" s="1" t="s">
        <v>1089</v>
      </c>
      <c r="C488" s="1" t="s">
        <v>1759</v>
      </c>
      <c r="D488" s="1" t="s">
        <v>1760</v>
      </c>
      <c r="E488" s="27">
        <v>45561.0</v>
      </c>
      <c r="F488" s="1" t="s">
        <v>1761</v>
      </c>
      <c r="G488" s="7" t="s">
        <v>1762</v>
      </c>
      <c r="H488" s="16"/>
      <c r="I488" s="4" t="s">
        <v>1305</v>
      </c>
      <c r="J488" s="4" t="b">
        <v>0</v>
      </c>
      <c r="K488" s="4" t="b">
        <v>0</v>
      </c>
      <c r="L488" s="1"/>
      <c r="M488" s="6"/>
      <c r="N488" s="1"/>
      <c r="O488" s="1" t="str">
        <f>IFERROR(__xludf.DUMMYFUNCTION("GOOGLETRANSLATE(F488,""zh-CN"",""zh-TW"") "),"對於不熟悉的人來說，WordPress 項目聯合創始人 Matt Mullenweg 在主題演講中引發了爭議。他批評 WP Engine 及其背後的私募股權公司 Silver Lake，指控他們對社區造成傷害。 Matt 和他的法律團隊指控 WP Engine 商標侵權和造成市場混淆。這週，Matt 進一步升級衝突，撤銷 WP Engine 存取 WordPress.org 用於軟件安裝和更新的 API 的免費權限。
WordPress 在作為開源專案和 Automattic 的託管服務 wordpre"&amp;"ss.com 之間常常被混淆。 Automattic 擁有「WordPress」商標的商業權利，而 WP Engine 雖然不直接稱呼自己為「WordPress Engine」，但透過營銷技巧從名稱混淆中獲益。 Matt 最初批評 WP Engine 在於他們對開源社群貢獻不足。儘管在首頁宣傳他們的參與，WP Engine 每週據報僅投入 40 人時，遠未能培養一個通過貢獻 WordPress 來支持開放未來的文化。
此衝突最可悲的後果是對終端使用者的影響。當 Matt 封鎖 WP Engine 服務器"&amp;"訪問 WordPress.org 的 API 時，許多利益相關者表達對項目穩定性和安全性的擔憂。然而，這種擔憂是多餘的。 WP Engine 未能妥善處理 Matt 的考量，導致 API 存取被移除——任何網頁主機都應該採取適當保護措施。 WP Engine 缺乏此類措施，造成 API 服務中斷時的使用者中斷。
雖然我同情受影響的使用者，但 WP Engine 應對這些問題負責。他們依賴 WordPress.org 的免費服務，卻未充分處理社群貢獻或商標授權問題。同樣地，WP Engine 利用免費服務"&amp;"牟利卻未回饋。他們拒絕遵守社群期望，導致服務存取被撤銷。雖然使用者受到影響，但歸咎他人是不誠實的。")</f>
        <v>對於不熟悉的人來說，WordPress 項目聯合創始人 Matt Mullenweg 在主題演講中引發了爭議。他批評 WP Engine 及其背後的私募股權公司 Silver Lake，指控他們對社區造成傷害。 Matt 和他的法律團隊指控 WP Engine 商標侵權和造成市場混淆。這週，Matt 進一步升級衝突，撤銷 WP Engine 存取 WordPress.org 用於軟件安裝和更新的 API 的免費權限。
WordPress 在作為開源專案和 Automattic 的託管服務 wordpress.com 之間常常被混淆。 Automattic 擁有「WordPress」商標的商業權利，而 WP Engine 雖然不直接稱呼自己為「WordPress Engine」，但透過營銷技巧從名稱混淆中獲益。 Matt 最初批評 WP Engine 在於他們對開源社群貢獻不足。儘管在首頁宣傳他們的參與，WP Engine 每週據報僅投入 40 人時，遠未能培養一個通過貢獻 WordPress 來支持開放未來的文化。
此衝突最可悲的後果是對終端使用者的影響。當 Matt 封鎖 WP Engine 服務器訪問 WordPress.org 的 API 時，許多利益相關者表達對項目穩定性和安全性的擔憂。然而，這種擔憂是多餘的。 WP Engine 未能妥善處理 Matt 的考量，導致 API 存取被移除——任何網頁主機都應該採取適當保護措施。 WP Engine 缺乏此類措施，造成 API 服務中斷時的使用者中斷。
雖然我同情受影響的使用者，但 WP Engine 應對這些問題負責。他們依賴 WordPress.org 的免費服務，卻未充分處理社群貢獻或商標授權問題。同樣地，WP Engine 利用免費服務牟利卻未回饋。他們拒絕遵守社群期望，導致服務存取被撤銷。雖然使用者受到影響，但歸咎他人是不誠實的。</v>
      </c>
      <c r="P488" s="1"/>
      <c r="Q488" s="1"/>
      <c r="R488" s="1"/>
      <c r="S488" s="1"/>
      <c r="T488" s="1"/>
      <c r="U488" s="1"/>
      <c r="V488" s="1"/>
      <c r="W488" s="1"/>
      <c r="X488" s="1"/>
      <c r="Y488" s="1"/>
      <c r="Z488" s="1"/>
      <c r="AA488" s="1"/>
      <c r="AB488" s="1"/>
    </row>
    <row r="489" hidden="1" outlineLevel="1">
      <c r="A489" s="1" t="s">
        <v>519</v>
      </c>
      <c r="B489" s="1" t="s">
        <v>520</v>
      </c>
      <c r="C489" s="1" t="s">
        <v>1705</v>
      </c>
      <c r="D489" s="1" t="s">
        <v>1763</v>
      </c>
      <c r="E489" s="27">
        <v>45573.0</v>
      </c>
      <c r="F489" s="1" t="s">
        <v>1764</v>
      </c>
      <c r="G489" s="7" t="s">
        <v>1765</v>
      </c>
      <c r="H489" s="16"/>
      <c r="I489" s="4" t="s">
        <v>1286</v>
      </c>
      <c r="J489" s="4" t="b">
        <v>0</v>
      </c>
      <c r="K489" s="4" t="b">
        <v>0</v>
      </c>
      <c r="L489" s="1"/>
      <c r="M489" s="6"/>
      <c r="N489" s="1"/>
      <c r="O489" s="1" t="str">
        <f>IFERROR(__xludf.DUMMYFUNCTION("GOOGLETRANSLATE(F489,""zh-CN"",""zh-TW"") "),"鴻海科技日亮相量產版 Model B 和美規版 Model C，前者與概念車差異不大，但內飾質感提升，後者則在外觀和內飾上進行了調整。兩款車均基於 MIH 開放平台打造，預計 2025 年在美國上市，標誌著 MIH 取得初步成功。 ")</f>
        <v>鴻海科技日亮相量產版 Model B 和美規版 Model C，前者與概念車差異不大，但內飾質感提升，後者則在外觀和內飾上進行了調整。兩款車均基於 MIH 開放平台打造，預計 2025 年在美國上市，標誌著 MIH 取得初步成功。 </v>
      </c>
      <c r="P489" s="1"/>
      <c r="Q489" s="1"/>
      <c r="R489" s="1"/>
      <c r="S489" s="1"/>
      <c r="T489" s="1"/>
      <c r="U489" s="1"/>
      <c r="V489" s="1"/>
      <c r="W489" s="1"/>
      <c r="X489" s="1"/>
      <c r="Y489" s="1"/>
      <c r="Z489" s="1"/>
      <c r="AA489" s="1"/>
      <c r="AB489" s="1"/>
    </row>
    <row r="490" hidden="1" outlineLevel="1">
      <c r="A490" s="1" t="s">
        <v>519</v>
      </c>
      <c r="B490" s="1" t="s">
        <v>520</v>
      </c>
      <c r="C490" s="1" t="s">
        <v>838</v>
      </c>
      <c r="D490" s="1" t="s">
        <v>1766</v>
      </c>
      <c r="E490" s="27">
        <v>45622.0</v>
      </c>
      <c r="F490" s="1" t="s">
        <v>1767</v>
      </c>
      <c r="G490" s="7" t="s">
        <v>1768</v>
      </c>
      <c r="H490" s="16"/>
      <c r="I490" s="4" t="s">
        <v>1286</v>
      </c>
      <c r="J490" s="4" t="b">
        <v>0</v>
      </c>
      <c r="K490" s="4" t="b">
        <v>0</v>
      </c>
      <c r="L490" s="1"/>
      <c r="M490" s="6"/>
      <c r="N490" s="1"/>
      <c r="O490" s="1" t="str">
        <f>IFERROR(__xludf.DUMMYFUNCTION("GOOGLETRANSLATE(F490,""zh-CN"",""zh-TW"") "),"Google 投資的 AI 新創公司 Anthropic 推出了一個叫做「模型上下文協議」（Model Context Protocol，簡稱 MCP）的開源標準，要讓 AI 助理更容易連接到存放資料的地方，像是公司用的工具、軟件、資料庫等等。
AI 模型，經常會被資料孤島和舊系統卡住。每次要連到新的資料來源，都要重新客製化，這讓真正能連接到網路的系統很難擴大規模。 MCP 提供一個通用的、開放的標準，讓 AI 系統連接到各種資料來源，用一個協議就能搞定。")</f>
        <v>Google 投資的 AI 新創公司 Anthropic 推出了一個叫做「模型上下文協議」（Model Context Protocol，簡稱 MCP）的開源標準，要讓 AI 助理更容易連接到存放資料的地方，像是公司用的工具、軟件、資料庫等等。
AI 模型，經常會被資料孤島和舊系統卡住。每次要連到新的資料來源，都要重新客製化，這讓真正能連接到網路的系統很難擴大規模。 MCP 提供一個通用的、開放的標準，讓 AI 系統連接到各種資料來源，用一個協議就能搞定。</v>
      </c>
      <c r="P490" s="1"/>
      <c r="Q490" s="1"/>
      <c r="R490" s="1"/>
      <c r="S490" s="1"/>
      <c r="T490" s="1"/>
      <c r="U490" s="1"/>
      <c r="V490" s="1"/>
      <c r="W490" s="1"/>
      <c r="X490" s="1"/>
      <c r="Y490" s="1"/>
      <c r="Z490" s="1"/>
      <c r="AA490" s="1"/>
      <c r="AB490" s="1"/>
    </row>
    <row r="491" hidden="1" outlineLevel="1">
      <c r="A491" s="1" t="s">
        <v>519</v>
      </c>
      <c r="B491" s="1" t="s">
        <v>508</v>
      </c>
      <c r="C491" s="1" t="s">
        <v>1769</v>
      </c>
      <c r="D491" s="1" t="s">
        <v>1770</v>
      </c>
      <c r="E491" s="27">
        <v>45570.0</v>
      </c>
      <c r="F491" s="1" t="s">
        <v>1771</v>
      </c>
      <c r="G491" s="7" t="s">
        <v>1772</v>
      </c>
      <c r="H491" s="16"/>
      <c r="I491" s="4" t="s">
        <v>1305</v>
      </c>
      <c r="J491" s="4" t="b">
        <v>0</v>
      </c>
      <c r="K491" s="4" t="b">
        <v>0</v>
      </c>
      <c r="L491" s="1"/>
      <c r="M491" s="6"/>
      <c r="N491" s="1"/>
      <c r="O491" s="1" t="str">
        <f>IFERROR(__xludf.DUMMYFUNCTION("GOOGLETRANSLATE(F491,""zh-CN"",""zh-TW"") "),"WiLo 技術透過融合 Wi-Fi 和長距離（LoRa）網路通訊協定。研究人員設計 WiLo 能與既有的 Wi-Fi 和 LoRa 硬體搭配，目標是強化物聯網（IoT）應用，包括農業和智慧城市的長距離傳感器網絡。
目前的 Wi-Fi 技術受限於通訊範圍和高耗電，而 LoRa 提供低功耗的長距離通訊。透過整合這兩種協定，WiLo 充分發揮各自優勢，無需額外橋接技術，從而降低物聯網部署的成本和複雜度。
這項創新使標準 Wi-Fi 裝置能透過 LoRa 進行長距離通訊，無需額外硬體。在室內和戶外 500 公"&amp;"尺範圍測試中，WiLo 展現 96% 的傳輸成功率。 WiLo 的優點在於能使用現成硬件，將部署成本和複雜度降到最低。然而，Wi-Fi 裝置額外耗電—這是研究團隊將持續解決的議題。")</f>
        <v>WiLo 技術透過融合 Wi-Fi 和長距離（LoRa）網路通訊協定。研究人員設計 WiLo 能與既有的 Wi-Fi 和 LoRa 硬體搭配，目標是強化物聯網（IoT）應用，包括農業和智慧城市的長距離傳感器網絡。
目前的 Wi-Fi 技術受限於通訊範圍和高耗電，而 LoRa 提供低功耗的長距離通訊。透過整合這兩種協定，WiLo 充分發揮各自優勢，無需額外橋接技術，從而降低物聯網部署的成本和複雜度。
這項創新使標準 Wi-Fi 裝置能透過 LoRa 進行長距離通訊，無需額外硬體。在室內和戶外 500 公尺範圍測試中，WiLo 展現 96% 的傳輸成功率。 WiLo 的優點在於能使用現成硬件，將部署成本和複雜度降到最低。然而，Wi-Fi 裝置額外耗電—這是研究團隊將持續解決的議題。</v>
      </c>
      <c r="P491" s="1"/>
      <c r="Q491" s="1"/>
      <c r="R491" s="1"/>
      <c r="S491" s="1"/>
      <c r="T491" s="1"/>
      <c r="U491" s="1"/>
      <c r="V491" s="1"/>
      <c r="W491" s="1"/>
      <c r="X491" s="1"/>
      <c r="Y491" s="1"/>
      <c r="Z491" s="1"/>
      <c r="AA491" s="1"/>
      <c r="AB491" s="1"/>
    </row>
    <row r="492" hidden="1" outlineLevel="1">
      <c r="A492" s="1" t="s">
        <v>507</v>
      </c>
      <c r="B492" s="1" t="s">
        <v>680</v>
      </c>
      <c r="C492" s="1" t="s">
        <v>1746</v>
      </c>
      <c r="D492" s="1" t="s">
        <v>1773</v>
      </c>
      <c r="E492" s="27">
        <v>45598.0</v>
      </c>
      <c r="F492" s="1" t="s">
        <v>1774</v>
      </c>
      <c r="G492" s="7" t="s">
        <v>1775</v>
      </c>
      <c r="H492" s="16"/>
      <c r="I492" s="4" t="s">
        <v>1286</v>
      </c>
      <c r="J492" s="4" t="b">
        <v>0</v>
      </c>
      <c r="K492" s="4" t="b">
        <v>0</v>
      </c>
      <c r="L492" s="1"/>
      <c r="M492" s="6"/>
      <c r="N492" s="1"/>
      <c r="O492" s="1" t="str">
        <f>IFERROR(__xludf.DUMMYFUNCTION("GOOGLETRANSLATE(F492,""zh-CN"",""zh-TW"") "),"此篇論文「高等教育中的有效資料管理：開放資料管理員的技能、能力和新興角色」強調高等教育中的開放研究鼓勵採用新的方式使科學探究更加透明、協作和容易獲得。因此在此文中探討開放資料管理員在這一轉變中的關鍵作用，並強調開放資料管理者的角色預計將促進資料的可近性和共享實踐，有助於大學發展成為開放的生態系統。")</f>
        <v>此篇論文「高等教育中的有效資料管理：開放資料管理員的技能、能力和新興角色」強調高等教育中的開放研究鼓勵採用新的方式使科學探究更加透明、協作和容易獲得。因此在此文中探討開放資料管理員在這一轉變中的關鍵作用，並強調開放資料管理者的角色預計將促進資料的可近性和共享實踐，有助於大學發展成為開放的生態系統。</v>
      </c>
      <c r="P492" s="1"/>
      <c r="Q492" s="1"/>
      <c r="R492" s="1"/>
      <c r="S492" s="1"/>
      <c r="T492" s="1"/>
      <c r="U492" s="1"/>
      <c r="V492" s="1"/>
      <c r="W492" s="1"/>
      <c r="X492" s="1"/>
      <c r="Y492" s="1"/>
      <c r="Z492" s="1"/>
      <c r="AA492" s="1"/>
      <c r="AB492" s="1"/>
    </row>
    <row r="493" hidden="1" outlineLevel="1">
      <c r="A493" s="1" t="s">
        <v>507</v>
      </c>
      <c r="B493" s="1" t="s">
        <v>1776</v>
      </c>
      <c r="C493" s="1" t="s">
        <v>1777</v>
      </c>
      <c r="D493" s="1" t="s">
        <v>1778</v>
      </c>
      <c r="E493" s="28" t="s">
        <v>150</v>
      </c>
      <c r="F493" s="1" t="s">
        <v>1779</v>
      </c>
      <c r="G493" s="7" t="s">
        <v>1780</v>
      </c>
      <c r="H493" s="16"/>
      <c r="I493" s="4" t="s">
        <v>1305</v>
      </c>
      <c r="J493" s="4" t="b">
        <v>0</v>
      </c>
      <c r="K493" s="4" t="b">
        <v>0</v>
      </c>
      <c r="L493" s="1"/>
      <c r="M493" s="6"/>
      <c r="N493" s="1"/>
      <c r="O493" s="1" t="str">
        <f>IFERROR(__xludf.DUMMYFUNCTION("GOOGLETRANSLATE(F493,""zh-CN"",""zh-TW"") "),"WiFi4EU 計畫透過在歐洲各公共區域提供免費無線網路連線。這項計畫已成功在超過 7,200 個區域建設超過 9 萬 3 千個熱點，每個自治區都收到補助券以推動建設。全新的應用程式旨在簡化尋找這些熱點的流程。
透過 WiFi4EU 應用程序，使用者可以在歐洲多個地點享受高速且可靠的無線網絡，特別是在設置免費 WiFi4EU 熱點的公共空間，如公園、廣場、公共建築、圖書館、醫療中心或博物館。不論是出差、休閒旅遊，或是在家鄉四處走動，WiFi4EU 應用程式都能提供無需支付數據費用的網路存取。
優先考慮"&amp;"使用者隱私，WiFi4EU 應用程式提供安全的線上體驗，不會進行追蹤或收集材料，讓使用者可以安心地連接並使用免費公共無線網路。
")</f>
        <v>WiFi4EU 計畫透過在歐洲各公共區域提供免費無線網路連線。這項計畫已成功在超過 7,200 個區域建設超過 9 萬 3 千個熱點，每個自治區都收到補助券以推動建設。全新的應用程式旨在簡化尋找這些熱點的流程。
透過 WiFi4EU 應用程序，使用者可以在歐洲多個地點享受高速且可靠的無線網絡，特別是在設置免費 WiFi4EU 熱點的公共空間，如公園、廣場、公共建築、圖書館、醫療中心或博物館。不論是出差、休閒旅遊，或是在家鄉四處走動，WiFi4EU 應用程式都能提供無需支付數據費用的網路存取。
優先考慮使用者隱私，WiFi4EU 應用程式提供安全的線上體驗，不會進行追蹤或收集材料，讓使用者可以安心地連接並使用免費公共無線網路。
</v>
      </c>
      <c r="P493" s="1"/>
      <c r="Q493" s="1"/>
      <c r="R493" s="1"/>
      <c r="S493" s="1"/>
      <c r="T493" s="1"/>
      <c r="U493" s="1"/>
      <c r="V493" s="1"/>
      <c r="W493" s="1"/>
      <c r="X493" s="1"/>
      <c r="Y493" s="1"/>
      <c r="Z493" s="1"/>
      <c r="AA493" s="1"/>
      <c r="AB493" s="1"/>
    </row>
    <row r="494" hidden="1" outlineLevel="1">
      <c r="A494" s="1" t="s">
        <v>507</v>
      </c>
      <c r="B494" s="1" t="s">
        <v>537</v>
      </c>
      <c r="C494" s="1" t="s">
        <v>1781</v>
      </c>
      <c r="D494" s="1" t="s">
        <v>1782</v>
      </c>
      <c r="E494" s="27">
        <v>45603.0</v>
      </c>
      <c r="F494" s="1" t="s">
        <v>1783</v>
      </c>
      <c r="G494" s="7" t="s">
        <v>1784</v>
      </c>
      <c r="H494" s="16"/>
      <c r="I494" s="4" t="s">
        <v>1286</v>
      </c>
      <c r="J494" s="4" t="b">
        <v>0</v>
      </c>
      <c r="K494" s="4" t="b">
        <v>0</v>
      </c>
      <c r="L494" s="1"/>
      <c r="M494" s="6"/>
      <c r="N494" s="1"/>
      <c r="O494" s="1" t="str">
        <f>IFERROR(__xludf.DUMMYFUNCTION("GOOGLETRANSLATE(F494,""zh-CN"",""zh-TW"") "),"資策會軟件院 2024 STI TECH DAY 中首次發表「2025 十大 AI 關鍵技術與趨勢」，其中Open Data 聯盟鄧東波副會長指出，觀察歐洲、日本 Data space（資料空間）的發展現狀，歐洲著重於建立各產業共通的技術基礎設施與資料治理，Data space 將影響台灣未來數字發展的未來數字與經濟。")</f>
        <v>資策會軟件院 2024 STI TECH DAY 中首次發表「2025 十大 AI 關鍵技術與趨勢」，其中Open Data 聯盟鄧東波副會長指出，觀察歐洲、日本 Data space（資料空間）的發展現狀，歐洲著重於建立各產業共通的技術基礎設施與資料治理，Data space 將影響台灣未來數字發展的未來數字與經濟。</v>
      </c>
      <c r="P494" s="1"/>
      <c r="Q494" s="1"/>
      <c r="R494" s="1"/>
      <c r="S494" s="1"/>
      <c r="T494" s="1"/>
      <c r="U494" s="1"/>
      <c r="V494" s="1"/>
      <c r="W494" s="1"/>
      <c r="X494" s="1"/>
      <c r="Y494" s="1"/>
      <c r="Z494" s="1"/>
      <c r="AA494" s="1"/>
      <c r="AB494" s="1"/>
    </row>
    <row r="495" hidden="1" outlineLevel="1">
      <c r="A495" s="1" t="s">
        <v>1785</v>
      </c>
      <c r="B495" s="1" t="s">
        <v>1786</v>
      </c>
      <c r="C495" s="32" t="s">
        <v>1787</v>
      </c>
      <c r="D495" s="1" t="s">
        <v>1788</v>
      </c>
      <c r="E495" s="27">
        <v>45574.0</v>
      </c>
      <c r="F495" s="1" t="s">
        <v>1789</v>
      </c>
      <c r="G495" s="7" t="s">
        <v>1790</v>
      </c>
      <c r="H495" s="16"/>
      <c r="I495" s="4" t="s">
        <v>1305</v>
      </c>
      <c r="J495" s="4" t="b">
        <v>0</v>
      </c>
      <c r="K495" s="4" t="b">
        <v>0</v>
      </c>
      <c r="L495" s="1"/>
      <c r="M495" s="6"/>
      <c r="N495" s="1" t="s">
        <v>1791</v>
      </c>
      <c r="O495" s="1" t="str">
        <f>IFERROR(__xludf.DUMMYFUNCTION("GOOGLETRANSLATE(F495,""zh-CN"",""zh-TW"") "),"美國司法部（司法部）已宣佈在其關於 Google 搜尋服務分割的訴訟中，可能會提出潛在的重大變革。
其中一項提議的變更，是要求 Google 與競爭對手分享用戶搜尋查詢、點擊和結果，這可能帶來重大的隱私和安全風險。這些搜尋查詢常常包含受 Google 嚴格安全措施保護的敏感資訊。若轉移至缺乏健全安全實踐的公司，將提高惡意實體濫用的風險，可能導致個人身分被識別和搜尋歷史被洩露。
此外，司法部提議將 Chrome 或 Android 從 Google 分離​​，Google 認為這可能會產生有害影響。 G"&amp;"oogle 計劃在法庭上提出抗辯，以回應這些疑慮。")</f>
        <v>美國司法部（司法部）已宣佈在其關於 Google 搜尋服務分割的訴訟中，可能會提出潛在的重大變革。
其中一項提議的變更，是要求 Google 與競爭對手分享用戶搜尋查詢、點擊和結果，這可能帶來重大的隱私和安全風險。這些搜尋查詢常常包含受 Google 嚴格安全措施保護的敏感資訊。若轉移至缺乏健全安全實踐的公司，將提高惡意實體濫用的風險，可能導致個人身分被識別和搜尋歷史被洩露。
此外，司法部提議將 Chrome 或 Android 從 Google 分離​​，Google 認為這可能會產生有害影響。 Google 計劃在法庭上提出抗辯，以回應這些疑慮。</v>
      </c>
      <c r="P495" s="1"/>
      <c r="Q495" s="1"/>
      <c r="R495" s="1"/>
      <c r="S495" s="1"/>
      <c r="T495" s="1"/>
      <c r="U495" s="1"/>
      <c r="V495" s="1"/>
      <c r="W495" s="1"/>
      <c r="X495" s="1"/>
      <c r="Y495" s="1"/>
      <c r="Z495" s="1"/>
      <c r="AA495" s="1"/>
      <c r="AB495" s="1"/>
    </row>
    <row r="496" hidden="1" outlineLevel="1">
      <c r="A496" s="1" t="s">
        <v>507</v>
      </c>
      <c r="B496" s="1" t="s">
        <v>680</v>
      </c>
      <c r="C496" s="1" t="s">
        <v>1746</v>
      </c>
      <c r="D496" s="1" t="s">
        <v>1792</v>
      </c>
      <c r="E496" s="27">
        <v>45596.0</v>
      </c>
      <c r="F496" s="1" t="s">
        <v>1793</v>
      </c>
      <c r="G496" s="7" t="s">
        <v>1794</v>
      </c>
      <c r="H496" s="16"/>
      <c r="I496" s="4" t="s">
        <v>1286</v>
      </c>
      <c r="J496" s="4" t="b">
        <v>0</v>
      </c>
      <c r="K496" s="4" t="b">
        <v>0</v>
      </c>
      <c r="L496" s="1"/>
      <c r="M496" s="6"/>
      <c r="N496" s="1"/>
      <c r="O496" s="1" t="str">
        <f>IFERROR(__xludf.DUMMYFUNCTION("GOOGLETRANSLATE(F496,""zh-CN"",""zh-TW"") "),"開放資料政策實驗室的「開放資料與生成式人工智慧如何交叉範例觀察站」提供了來自官方來源的開放資料與生成式人工智慧交叉的真實案例，包含來自多個領域和地區的 80 多個範例，從支援法國政府法律部門內的行政工作到協助非洲大陸的研究人員了解跨境資料共享法律。")</f>
        <v>開放資料政策實驗室的「開放資料與生成式人工智慧如何交叉範例觀察站」提供了來自官方來源的開放資料與生成式人工智慧交叉的真實案例，包含來自多個領域和地區的 80 多個範例，從支援法國政府法律部門內的行政工作到協助非洲大陸的研究人員了解跨境資料共享法律。</v>
      </c>
      <c r="P496" s="1"/>
      <c r="Q496" s="1"/>
      <c r="R496" s="1"/>
      <c r="S496" s="1"/>
      <c r="T496" s="1"/>
      <c r="U496" s="1"/>
      <c r="V496" s="1"/>
      <c r="W496" s="1"/>
      <c r="X496" s="1"/>
      <c r="Y496" s="1"/>
      <c r="Z496" s="1"/>
      <c r="AA496" s="1"/>
      <c r="AB496" s="1"/>
    </row>
    <row r="497" hidden="1" outlineLevel="1">
      <c r="A497" s="1" t="s">
        <v>519</v>
      </c>
      <c r="B497" s="1" t="s">
        <v>809</v>
      </c>
      <c r="C497" s="1" t="s">
        <v>1795</v>
      </c>
      <c r="D497" s="1" t="s">
        <v>1796</v>
      </c>
      <c r="E497" s="27">
        <v>45573.0</v>
      </c>
      <c r="F497" s="17" t="s">
        <v>1797</v>
      </c>
      <c r="G497" s="7" t="s">
        <v>1798</v>
      </c>
      <c r="H497" s="16"/>
      <c r="I497" s="4" t="s">
        <v>1305</v>
      </c>
      <c r="J497" s="4" t="b">
        <v>0</v>
      </c>
      <c r="K497" s="4" t="b">
        <v>0</v>
      </c>
      <c r="L497" s="1"/>
      <c r="M497" s="6"/>
      <c r="N497" s="1"/>
      <c r="O497" s="1" t="str">
        <f>IFERROR(__xludf.DUMMYFUNCTION("GOOGLETRANSLATE(F497,""zh-CN"",""zh-TW"") "),"自由軟體基金會（FSF）宣布參與美國國家標準與技術研究院（NIST）的聯盟，該聯盟專注於「人工智能」的安全性，特別是關於「生成式」人工智能係統。 FSF 的目標是確保自由軟體的觀點能在這些討論中獲得充分代表。該聯盟包含超過 600 個機構，其中不乏常遭 FSF 批評的企業，如 Meta、亞馬遜和谷歌。儘管軟體自由的環境充滿挑戰，FSF 仍致力於在聯盟及其工作小組中倡導個人使用者的自由。
FSF 行銷長 Greg Farough 對 FSF 的參與表示：「基於我們在科技倫理上的立場，許多人都期待我們對此問"&amp;"題提出看法。我們已通過內部工作小組，對人工智能的技術和哲學方面進行深入研究。我們參與這個聯盟，是為了闡述我們的研究發現。」
FSF 執行長柯伊曼（Zoë Kooyman）強調 FSF 對機器學習系統採取審慎態度，並意識到這些系統對日常運算的廣泛影響。她強調維護使用者對技術的控制權之重要性，這與 FSF 將對話重新引導至四大基本自由的責任相符。
")</f>
        <v>自由軟體基金會（FSF）宣布參與美國國家標準與技術研究院（NIST）的聯盟，該聯盟專注於「人工智能」的安全性，特別是關於「生成式」人工智能係統。 FSF 的目標是確保自由軟體的觀點能在這些討論中獲得充分代表。該聯盟包含超過 600 個機構，其中不乏常遭 FSF 批評的企業，如 Meta、亞馬遜和谷歌。儘管軟體自由的環境充滿挑戰，FSF 仍致力於在聯盟及其工作小組中倡導個人使用者的自由。
FSF 行銷長 Greg Farough 對 FSF 的參與表示：「基於我們在科技倫理上的立場，許多人都期待我們對此問題提出看法。我們已通過內部工作小組，對人工智能的技術和哲學方面進行深入研究。我們參與這個聯盟，是為了闡述我們的研究發現。」
FSF 執行長柯伊曼（Zoë Kooyman）強調 FSF 對機器學習系統採取審慎態度，並意識到這些系統對日常運算的廣泛影響。她強調維護使用者對技術的控制權之重要性，這與 FSF 將對話重新引導至四大基本自由的責任相符。
</v>
      </c>
      <c r="P497" s="1"/>
      <c r="Q497" s="1"/>
      <c r="R497" s="1"/>
      <c r="S497" s="1"/>
      <c r="T497" s="1"/>
      <c r="U497" s="1"/>
      <c r="V497" s="1"/>
      <c r="W497" s="1"/>
      <c r="X497" s="1"/>
      <c r="Y497" s="1"/>
      <c r="Z497" s="1"/>
      <c r="AA497" s="1"/>
      <c r="AB497" s="1"/>
    </row>
    <row r="498" hidden="1" outlineLevel="1">
      <c r="A498" s="1" t="s">
        <v>507</v>
      </c>
      <c r="B498" s="1" t="s">
        <v>680</v>
      </c>
      <c r="C498" s="1" t="s">
        <v>1799</v>
      </c>
      <c r="D498" s="1" t="s">
        <v>1800</v>
      </c>
      <c r="E498" s="27">
        <v>45588.0</v>
      </c>
      <c r="F498" s="1" t="s">
        <v>1801</v>
      </c>
      <c r="G498" s="7" t="s">
        <v>1802</v>
      </c>
      <c r="H498" s="16"/>
      <c r="I498" s="4" t="s">
        <v>1305</v>
      </c>
      <c r="J498" s="4" t="b">
        <v>0</v>
      </c>
      <c r="K498" s="4" t="b">
        <v>0</v>
      </c>
      <c r="L498" s="1"/>
      <c r="M498" s="6"/>
      <c r="N498" s="1" t="s">
        <v>1803</v>
      </c>
      <c r="O498" s="1" t="str">
        <f>IFERROR(__xludf.DUMMYFUNCTION("GOOGLETRANSLATE(F498,""zh-CN"",""zh-TW"") "),"聯合國教科文組織針對 opendata 的指引，以及如何彙整開放資料來為 AI 增能。
開放式資料的重要性：開放式資料對於 AI 發展至關重要，因為它允許處理和轉化原始資料為可操作的資訊。這在 COVID-19 大流行期間尤其明顯，當時及時和高品質的開放數據對於科學研究和政策幹預至關重要。
FAIR 原則：資料必須是可尋找的、可存取的、可互通的和可重複使用的（FAIR）。這些原則確保數據可以輕鬆定位、存取、與其他數據整合並重複使用，從而增強其價值和效用。
UNESCO 指南：指南旨在幫助會員國理解開"&amp;"放資料的價值並提供具體步驟來規劃和開放其資料。這些步驟分為三個階段：準備、開放和後續跟進，以實現重複使用和永續性。
開放科學：指南還支持聯合國教科文組織關於開放科學的建議，促進數據共享、可重複性、透明度和長期訪問。開放科學倡議有助於建立信任並促進創新。
數據挑戰：文件強調了數據品質差、缺乏標準化和包容性問題等挑戰。解決這些挑戰對於 AI 在各種應用中的有效使用至關重要。
五星級數據計劃：建議採用 Tim Berners-Lee 的五星級開放數據計劃，其中包括在線提供數據、以結構化和非專有格式、使用 "&amp;"URI 並鏈接數據以提供上下文。這一計劃有助於提高數據的可用性和整合性。
法律和技術方面：技術上開放和法律上開放的數據之間存在區別。法律方麵包括指定如何重複使用數據以及是否需要歸屬，而技術方面則側重於數據格式和可訪問性。
數據生態系統：指南概述了數據生態系統的類型和範圍，強調需要全面的方法來管理和共享數據。這包括收集高品質數據、發展能力並使數據為 AI 準備就緒。")</f>
        <v>聯合國教科文組織針對 opendata 的指引，以及如何彙整開放資料來為 AI 增能。
開放式資料的重要性：開放式資料對於 AI 發展至關重要，因為它允許處理和轉化原始資料為可操作的資訊。這在 COVID-19 大流行期間尤其明顯，當時及時和高品質的開放數據對於科學研究和政策幹預至關重要。
FAIR 原則：資料必須是可尋找的、可存取的、可互通的和可重複使用的（FAIR）。這些原則確保數據可以輕鬆定位、存取、與其他數據整合並重複使用，從而增強其價值和效用。
UNESCO 指南：指南旨在幫助會員國理解開放資料的價值並提供具體步驟來規劃和開放其資料。這些步驟分為三個階段：準備、開放和後續跟進，以實現重複使用和永續性。
開放科學：指南還支持聯合國教科文組織關於開放科學的建議，促進數據共享、可重複性、透明度和長期訪問。開放科學倡議有助於建立信任並促進創新。
數據挑戰：文件強調了數據品質差、缺乏標準化和包容性問題等挑戰。解決這些挑戰對於 AI 在各種應用中的有效使用至關重要。
五星級數據計劃：建議採用 Tim Berners-Lee 的五星級開放數據計劃，其中包括在線提供數據、以結構化和非專有格式、使用 URI 並鏈接數據以提供上下文。這一計劃有助於提高數據的可用性和整合性。
法律和技術方面：技術上開放和法律上開放的數據之間存在區別。法律方麵包括指定如何重複使用數據以及是否需要歸屬，而技術方面則側重於數據格式和可訪問性。
數據生態系統：指南概述了數據生態系統的類型和範圍，強調需要全面的方法來管理和共享數據。這包括收集高品質數據、發展能力並使數據為 AI 準備就緒。</v>
      </c>
      <c r="P498" s="1"/>
      <c r="Q498" s="1"/>
      <c r="R498" s="1"/>
      <c r="S498" s="1"/>
      <c r="T498" s="1"/>
      <c r="U498" s="1"/>
      <c r="V498" s="1"/>
      <c r="W498" s="1"/>
      <c r="X498" s="1"/>
      <c r="Y498" s="1"/>
      <c r="Z498" s="1"/>
      <c r="AA498" s="1"/>
      <c r="AB498" s="1"/>
    </row>
    <row r="499" hidden="1" outlineLevel="1">
      <c r="A499" s="1" t="s">
        <v>519</v>
      </c>
      <c r="B499" s="1" t="s">
        <v>520</v>
      </c>
      <c r="C499" s="1" t="s">
        <v>1804</v>
      </c>
      <c r="D499" s="1" t="s">
        <v>1805</v>
      </c>
      <c r="E499" s="27">
        <v>45633.0</v>
      </c>
      <c r="F499" s="1" t="s">
        <v>1806</v>
      </c>
      <c r="G499" s="7" t="s">
        <v>1807</v>
      </c>
      <c r="H499" s="16"/>
      <c r="I499" s="4" t="s">
        <v>1305</v>
      </c>
      <c r="J499" s="4" t="b">
        <v>0</v>
      </c>
      <c r="K499" s="4" t="b">
        <v>0</v>
      </c>
      <c r="L499" s="1"/>
      <c r="M499" s="6"/>
      <c r="N499" s="1"/>
      <c r="O499" s="1" t="str">
        <f>IFERROR(__xludf.DUMMYFUNCTION("GOOGLETRANSLATE(F499,""zh-CN"",""zh-TW"") "),"12 月 7 日 是 Thunderbird 郵件客戶端慶祝二十週年的重要時刻。
Thunderbird 起源於 2003 年，並在 2004 年 12 月 7 日正式推出 1.0 版本。從 Mozilla 專案誕生，Thunderbird 立志提供開源、安全且高度客製化的郵件用戶端。這個初衷不起眼的項目很快就成為重視資料自主權者的首選郵件解決方案。
Thunderbird 的旅程並非一帆風順。面臨科技演進、激烈競爭和資金困境，專案遇到不少障礙。 2012 年，Mozilla 宣布停止對 Thund"&amp;"erbird 的支持，但熱情的開發者和使用者社群攜手維持專案生命。憑藉著 2000 萬用戶的信任，Thunderbird 轉型為用戶驅動的項目。
Thunderbird 二十年趣聞：Thunderbird 因高度可擴展性而受到科技愛好者和隱私倡導者的讚賞。用戶可透過附加元件進行廣泛客製化；2004 年與 Gmail 同年推出，賦予用戶本機郵件管理和客製化能力；Thunderbird 完全依靠用戶捐款支援開發。令人驚訝的是，不到 3% 的用戶提供財務支持，卻維持了專案的運作。
無論是從一開始就使用 T"&amp;"hunderbird，還是最近才加入，都是重視隱私、獨立和開源創新的全球運動的一部分！
")</f>
        <v>12 月 7 日 是 Thunderbird 郵件客戶端慶祝二十週年的重要時刻。
Thunderbird 起源於 2003 年，並在 2004 年 12 月 7 日正式推出 1.0 版本。從 Mozilla 專案誕生，Thunderbird 立志提供開源、安全且高度客製化的郵件用戶端。這個初衷不起眼的項目很快就成為重視資料自主權者的首選郵件解決方案。
Thunderbird 的旅程並非一帆風順。面臨科技演進、激烈競爭和資金困境，專案遇到不少障礙。 2012 年，Mozilla 宣布停止對 Thunderbird 的支持，但熱情的開發者和使用者社群攜手維持專案生命。憑藉著 2000 萬用戶的信任，Thunderbird 轉型為用戶驅動的項目。
Thunderbird 二十年趣聞：Thunderbird 因高度可擴展性而受到科技愛好者和隱私倡導者的讚賞。用戶可透過附加元件進行廣泛客製化；2004 年與 Gmail 同年推出，賦予用戶本機郵件管理和客製化能力；Thunderbird 完全依靠用戶捐款支援開發。令人驚訝的是，不到 3% 的用戶提供財務支持，卻維持了專案的運作。
無論是從一開始就使用 Thunderbird，還是最近才加入，都是重視隱私、獨立和開源創新的全球運動的一部分！
</v>
      </c>
      <c r="P499" s="1"/>
      <c r="Q499" s="1"/>
      <c r="R499" s="1"/>
      <c r="S499" s="1"/>
      <c r="T499" s="1"/>
      <c r="U499" s="1"/>
      <c r="V499" s="1"/>
      <c r="W499" s="1"/>
      <c r="X499" s="1"/>
      <c r="Y499" s="1"/>
      <c r="Z499" s="1"/>
      <c r="AA499" s="1"/>
      <c r="AB499" s="1"/>
    </row>
    <row r="500" hidden="1" outlineLevel="1">
      <c r="A500" s="1" t="s">
        <v>519</v>
      </c>
      <c r="B500" s="1" t="s">
        <v>520</v>
      </c>
      <c r="C500" s="7" t="s">
        <v>1808</v>
      </c>
      <c r="D500" s="1" t="s">
        <v>1809</v>
      </c>
      <c r="E500" s="27">
        <v>45607.0</v>
      </c>
      <c r="F500" s="1" t="s">
        <v>1810</v>
      </c>
      <c r="G500" s="112" t="s">
        <v>1811</v>
      </c>
      <c r="H500" s="16"/>
      <c r="I500" s="4" t="s">
        <v>1305</v>
      </c>
      <c r="J500" s="4" t="b">
        <v>0</v>
      </c>
      <c r="K500" s="4" t="b">
        <v>0</v>
      </c>
      <c r="L500" s="1"/>
      <c r="M500" s="6"/>
      <c r="N500" s="1"/>
      <c r="O500" s="1" t="str">
        <f>IFERROR(__xludf.DUMMYFUNCTION("GOOGLETRANSLATE(F500,""zh-CN"",""zh-TW"") "),"Google DeepMind 正式釋放其最新的 AI 蛋白質預測工具 AlphaFold3 的原始碼，兌現六個月前對研究社群的承諾。 Nature 期刊的指南實際上要求學術文章提供代碼，但 DeepMind 起初刊登 AlphaFold3 時僅提供虛擬碼，與完全開放的 AlphaFold2 形成巨大落差。
在數百位科學家連署的公開信及強烈抨擊後，DeepMind 承諾將完整程式碼開放給非商業用途。現在，他們在 GitHub 上釋放的版本允許研究人員以 CC-BY-NC-SA 4.0 取用運算模型。")</f>
        <v>Google DeepMind 正式釋放其最新的 AI 蛋白質預測工具 AlphaFold3 的原始碼，兌現六個月前對研究社群的承諾。 Nature 期刊的指南實際上要求學術文章提供代碼，但 DeepMind 起初刊登 AlphaFold3 時僅提供虛擬碼，與完全開放的 AlphaFold2 形成巨大落差。
在數百位科學家連署的公開信及強烈抨擊後，DeepMind 承諾將完整程式碼開放給非商業用途。現在，他們在 GitHub 上釋放的版本允許研究人員以 CC-BY-NC-SA 4.0 取用運算模型。</v>
      </c>
      <c r="P500" s="1"/>
      <c r="Q500" s="1"/>
      <c r="R500" s="1"/>
      <c r="S500" s="1"/>
      <c r="T500" s="1"/>
      <c r="U500" s="1"/>
      <c r="V500" s="1"/>
      <c r="W500" s="1"/>
      <c r="X500" s="1"/>
      <c r="Y500" s="1"/>
      <c r="Z500" s="1"/>
      <c r="AA500" s="1"/>
      <c r="AB500" s="1"/>
    </row>
    <row r="501" hidden="1" outlineLevel="1">
      <c r="A501" s="1" t="s">
        <v>507</v>
      </c>
      <c r="B501" s="1" t="s">
        <v>1812</v>
      </c>
      <c r="C501" s="1" t="s">
        <v>1804</v>
      </c>
      <c r="D501" s="7" t="s">
        <v>1813</v>
      </c>
      <c r="E501" s="28" t="s">
        <v>150</v>
      </c>
      <c r="F501" s="19" t="s">
        <v>1814</v>
      </c>
      <c r="G501" s="7" t="s">
        <v>1815</v>
      </c>
      <c r="H501" s="7" t="s">
        <v>1815</v>
      </c>
      <c r="I501" s="4" t="s">
        <v>1305</v>
      </c>
      <c r="J501" s="4" t="b">
        <v>0</v>
      </c>
      <c r="K501" s="4" t="b">
        <v>0</v>
      </c>
      <c r="L501" s="1"/>
      <c r="M501" s="6"/>
      <c r="N501" s="1" t="s">
        <v>1816</v>
      </c>
      <c r="O501" s="1" t="str">
        <f>IFERROR(__xludf.DUMMYFUNCTION("GOOGLETRANSLATE(F501,""zh-CN"",""zh-TW"") "),"datacommons.org 是由 Google 發起的開源協作項目，旨在整理和提升全球公開資訊的可用性。 datacommons.org 開放給所有人使用，目標是協助個人和組織藉由提供有用的資料資源，共同應對氣候變遷、糧食安全及經濟不平等等重大社會挑戰。
datacommons.org 知識圖譜和彙編資料集採用 CC BY 授權。 REST API 和 R 與 Python 函式庫則遵循 Apache 授權 2.0。
datacommons.org 與維基數據有何不同？ datacommons.o"&amp;"rg 專注於從政府機關等權威來源彙整現有外部統計資料，不同於維基數據的廣泛範疇。
其他公開資料集項目彙整主題性開放資料集，而 datacommons.org 則在大規模層面整合和標準化這些資料集，透過雲端 API 提供便利存取。這消除了跨不同研究領域重複進行資料清理和合併的作業。")</f>
        <v>datacommons.org 是由 Google 發起的開源協作項目，旨在整理和提升全球公開資訊的可用性。 datacommons.org 開放給所有人使用，目標是協助個人和組織藉由提供有用的資料資源，共同應對氣候變遷、糧食安全及經濟不平等等重大社會挑戰。
datacommons.org 知識圖譜和彙編資料集採用 CC BY 授權。 REST API 和 R 與 Python 函式庫則遵循 Apache 授權 2.0。
datacommons.org 與維基數據有何不同？ datacommons.org 專注於從政府機關等權威來源彙整現有外部統計資料，不同於維基數據的廣泛範疇。
其他公開資料集項目彙整主題性開放資料集，而 datacommons.org 則在大規模層面整合和標準化這些資料集，透過雲端 API 提供便利存取。這消除了跨不同研究領域重複進行資料清理和合併的作業。</v>
      </c>
      <c r="P501" s="1"/>
      <c r="Q501" s="1"/>
      <c r="R501" s="1"/>
      <c r="S501" s="1"/>
      <c r="T501" s="1"/>
      <c r="U501" s="1"/>
      <c r="V501" s="1"/>
      <c r="W501" s="1"/>
      <c r="X501" s="1"/>
      <c r="Y501" s="1"/>
      <c r="Z501" s="1"/>
      <c r="AA501" s="1"/>
      <c r="AB501" s="1"/>
    </row>
    <row r="502" hidden="1" outlineLevel="1">
      <c r="A502" s="1" t="s">
        <v>507</v>
      </c>
      <c r="B502" s="1" t="s">
        <v>1460</v>
      </c>
      <c r="C502" s="1" t="s">
        <v>1804</v>
      </c>
      <c r="D502" s="1" t="s">
        <v>1817</v>
      </c>
      <c r="E502" s="27">
        <v>45615.0</v>
      </c>
      <c r="F502" s="1" t="s">
        <v>1818</v>
      </c>
      <c r="G502" s="7" t="s">
        <v>1819</v>
      </c>
      <c r="H502" s="16"/>
      <c r="I502" s="4" t="s">
        <v>1305</v>
      </c>
      <c r="J502" s="4" t="b">
        <v>0</v>
      </c>
      <c r="K502" s="4" t="b">
        <v>0</v>
      </c>
      <c r="L502" s="1"/>
      <c r="M502" s="6"/>
      <c r="N502" s="1"/>
      <c r="O502" s="1" t="str">
        <f>IFERROR(__xludf.DUMMYFUNCTION("GOOGLETRANSLATE(F502,""zh-CN"",""zh-TW"") "),"地理空間、位置和地圖資料圖層長期被專有系統主導。這導致產業難以從限制的解決方案轉型到普惠技術，但普惠技術才是真正的客戶價值所在。
為了打破這種現狀，我們正在推出一個基礎開源資料集：Foursquare 開源地點資料庫（FSQ OS Places）。這個資料集包含超過 1 億個全球興趣點（POI），並具備 22 個核心屬性。資料每月更新，並可在 Apache 2.0 授權框架下商業使用。
Foursquare 的技術長維克拉姆‧岡德提解釋，這項任務需要一個精密的操作系統，結合人工確認和尖端數字探索系統，"&amp;"以建立具代表性的數據庫。這項工作的複雜性表明，開源社群最適合開發準確的地點資料基礎層。")</f>
        <v>地理空間、位置和地圖資料圖層長期被專有系統主導。這導致產業難以從限制的解決方案轉型到普惠技術，但普惠技術才是真正的客戶價值所在。
為了打破這種現狀，我們正在推出一個基礎開源資料集：Foursquare 開源地點資料庫（FSQ OS Places）。這個資料集包含超過 1 億個全球興趣點（POI），並具備 22 個核心屬性。資料每月更新，並可在 Apache 2.0 授權框架下商業使用。
Foursquare 的技術長維克拉姆‧岡德提解釋，這項任務需要一個精密的操作系統，結合人工確認和尖端數字探索系統，以建立具代表性的數據庫。這項工作的複雜性表明，開源社群最適合開發準確的地點資料基礎層。</v>
      </c>
      <c r="P502" s="1"/>
      <c r="Q502" s="1"/>
      <c r="R502" s="1"/>
      <c r="S502" s="1"/>
      <c r="T502" s="1"/>
      <c r="U502" s="1"/>
      <c r="V502" s="1"/>
      <c r="W502" s="1"/>
      <c r="X502" s="1"/>
      <c r="Y502" s="1"/>
      <c r="Z502" s="1"/>
      <c r="AA502" s="1"/>
      <c r="AB502" s="1"/>
    </row>
    <row r="503" hidden="1" outlineLevel="1">
      <c r="A503" s="1" t="s">
        <v>519</v>
      </c>
      <c r="B503" s="1" t="s">
        <v>1460</v>
      </c>
      <c r="C503" s="1" t="s">
        <v>1564</v>
      </c>
      <c r="D503" s="1" t="s">
        <v>1820</v>
      </c>
      <c r="E503" s="27">
        <v>45631.0</v>
      </c>
      <c r="F503" s="1" t="s">
        <v>1821</v>
      </c>
      <c r="G503" s="7" t="s">
        <v>1822</v>
      </c>
      <c r="H503" s="9" t="s">
        <v>1823</v>
      </c>
      <c r="I503" s="4" t="s">
        <v>1305</v>
      </c>
      <c r="J503" s="4" t="b">
        <v>0</v>
      </c>
      <c r="K503" s="4" t="b">
        <v>0</v>
      </c>
      <c r="L503" s="1"/>
      <c r="M503" s="6"/>
      <c r="N503" s="1" t="s">
        <v>1824</v>
      </c>
      <c r="O503" s="1" t="str">
        <f>IFERROR(__xludf.DUMMYFUNCTION("GOOGLETRANSLATE(F503,""zh-CN"",""zh-TW"") "),"麻省理工學院的工程師們揭露了一個包含逾 8,000 輛車款設計的大型開源資料集，讓未來汽車的想像變得前所未有地容易。這個開創性的資源 DrivAerNet++，包含詳細的空氣動力學信息，對加速環保車輛和電動車的設計邁出關鍵的一步。
麻省理工學院的開源方法展現了透明度和合作在推進科技創新的力量，並強調開放資料在塑造汽車產業永續未來中扮演的關鍵角色。
此資料集提供多種格式，如參數式、點雲、3D 網格等，讓不同的人工智慧模型能有效處理資料。這個全面的資料庫是車輛空氣動力學領域最大的資料集，旨在讓先前由車廠壟"&amp;"斷的關鍵設計資料得以民主化。
傳統上，汽車設計是一個耗時且封閉的流程，車廠透過成本高昂的模擬和測試反複改進設計。這項工作獲得龐大的運算資源支持，包括麻省理工學院超級雲端上超過 300 萬小時的 CPU 運算，產生了 39 TB 的數據。這些努力凸顯了創造一個不僅能提升汽車設計人工智能能力，還能成為永續交通未來催化劑的工具的決心。")</f>
        <v>麻省理工學院的工程師們揭露了一個包含逾 8,000 輛車款設計的大型開源資料集，讓未來汽車的想像變得前所未有地容易。這個開創性的資源 DrivAerNet++，包含詳細的空氣動力學信息，對加速環保車輛和電動車的設計邁出關鍵的一步。
麻省理工學院的開源方法展現了透明度和合作在推進科技創新的力量，並強調開放資料在塑造汽車產業永續未來中扮演的關鍵角色。
此資料集提供多種格式，如參數式、點雲、3D 網格等，讓不同的人工智慧模型能有效處理資料。這個全面的資料庫是車輛空氣動力學領域最大的資料集，旨在讓先前由車廠壟斷的關鍵設計資料得以民主化。
傳統上，汽車設計是一個耗時且封閉的流程，車廠透過成本高昂的模擬和測試反複改進設計。這項工作獲得龐大的運算資源支持，包括麻省理工學院超級雲端上超過 300 萬小時的 CPU 運算，產生了 39 TB 的數據。這些努力凸顯了創造一個不僅能提升汽車設計人工智能能力，還能成為永續交通未來催化劑的工具的決心。</v>
      </c>
      <c r="P503" s="1"/>
      <c r="Q503" s="1"/>
      <c r="R503" s="1"/>
      <c r="S503" s="1"/>
      <c r="T503" s="1"/>
      <c r="U503" s="1"/>
      <c r="V503" s="1"/>
      <c r="W503" s="1"/>
      <c r="X503" s="1"/>
      <c r="Y503" s="1"/>
      <c r="Z503" s="1"/>
      <c r="AA503" s="1"/>
      <c r="AB503" s="1"/>
    </row>
    <row r="504" hidden="1" outlineLevel="1">
      <c r="A504" s="1" t="s">
        <v>519</v>
      </c>
      <c r="B504" s="1" t="s">
        <v>1825</v>
      </c>
      <c r="C504" s="1" t="s">
        <v>1826</v>
      </c>
      <c r="D504" s="1" t="s">
        <v>1827</v>
      </c>
      <c r="E504" s="27">
        <v>45627.0</v>
      </c>
      <c r="F504" s="17" t="s">
        <v>1828</v>
      </c>
      <c r="G504" s="7" t="s">
        <v>1829</v>
      </c>
      <c r="H504" s="16"/>
      <c r="I504" s="4" t="s">
        <v>1305</v>
      </c>
      <c r="J504" s="4" t="b">
        <v>0</v>
      </c>
      <c r="K504" s="4" t="b">
        <v>0</v>
      </c>
      <c r="L504" s="1" t="s">
        <v>1830</v>
      </c>
      <c r="M504" s="6"/>
      <c r="N504" s="1"/>
      <c r="O504" s="1" t="str">
        <f>IFERROR(__xludf.DUMMYFUNCTION("GOOGLETRANSLATE(F504,""zh-CN"",""zh-TW"") "),"開源軟件是我們科技世界的骨幹，這項公共財的價值約為九兆美元，主要由志願者建立。然而，缺乏適當維護，它可能會危及自身所支持的基礎架構。這突顯了為開源軟件維護者提供有效資助策略的關鍵必要性，以保護軟件供應鏈。
目前的資助機制卻有缺陷。大型開源基金會往往與企業利益一致，專注於 Kubernetes 和 Linux 等知名項目，忽略了 Log4J 等規模較小但同樣重要的開源元件。這種疏忽為尋求透明度的私人捐助者帶來挑戰。
雖然 Thanks.dev、Open Collective 和 GitHub 贊助等平台"&amp;"提供了捐助管道，但它們傾向於支持熱門項目，而不是最關鍵的項目。這種錯位對開源軟件的可持續性構成風險。
一個潛在解決方案是為開源軟件資助者建立算法指數，類似於投資 ETF 而非挑選個股。這樣的指數將聚焦至關重要但資金不足的項目，猶如開源領域的「標準普爾五百指數」。
在缺乏此類架構的情況下，我為 Python 開發了一個原型，透過 GitHub 贊助和 PyPI 資料捐贈逾五千美元。 GitHub 的贊助計畫自二○一九年成立以來，已引導超過四千萬美元的捐款。")</f>
        <v>開源軟件是我們科技世界的骨幹，這項公共財的價值約為九兆美元，主要由志願者建立。然而，缺乏適當維護，它可能會危及自身所支持的基礎架構。這突顯了為開源軟件維護者提供有效資助策略的關鍵必要性，以保護軟件供應鏈。
目前的資助機制卻有缺陷。大型開源基金會往往與企業利益一致，專注於 Kubernetes 和 Linux 等知名項目，忽略了 Log4J 等規模較小但同樣重要的開源元件。這種疏忽為尋求透明度的私人捐助者帶來挑戰。
雖然 Thanks.dev、Open Collective 和 GitHub 贊助等平台提供了捐助管道，但它們傾向於支持熱門項目，而不是最關鍵的項目。這種錯位對開源軟件的可持續性構成風險。
一個潛在解決方案是為開源軟件資助者建立算法指數，類似於投資 ETF 而非挑選個股。這樣的指數將聚焦至關重要但資金不足的項目，猶如開源領域的「標準普爾五百指數」。
在缺乏此類架構的情況下，我為 Python 開發了一個原型，透過 GitHub 贊助和 PyPI 資料捐贈逾五千美元。 GitHub 的贊助計畫自二○一九年成立以來，已引導超過四千萬美元的捐款。</v>
      </c>
      <c r="P504" s="1"/>
      <c r="Q504" s="1"/>
      <c r="R504" s="1"/>
      <c r="S504" s="1"/>
      <c r="T504" s="1"/>
      <c r="U504" s="1"/>
      <c r="V504" s="1"/>
      <c r="W504" s="1"/>
      <c r="X504" s="1"/>
      <c r="Y504" s="1"/>
      <c r="Z504" s="1"/>
      <c r="AA504" s="1"/>
      <c r="AB504" s="1"/>
    </row>
    <row r="505" hidden="1" outlineLevel="1">
      <c r="A505" s="1" t="s">
        <v>519</v>
      </c>
      <c r="B505" s="1" t="s">
        <v>508</v>
      </c>
      <c r="C505" s="1" t="s">
        <v>1831</v>
      </c>
      <c r="D505" s="1" t="s">
        <v>1832</v>
      </c>
      <c r="E505" s="27">
        <v>45631.0</v>
      </c>
      <c r="F505" s="1" t="s">
        <v>1833</v>
      </c>
      <c r="G505" s="7" t="s">
        <v>1834</v>
      </c>
      <c r="H505" s="9" t="s">
        <v>1835</v>
      </c>
      <c r="I505" s="113" t="s">
        <v>1305</v>
      </c>
      <c r="J505" s="4" t="b">
        <v>0</v>
      </c>
      <c r="K505" s="4" t="b">
        <v>0</v>
      </c>
      <c r="L505" s="1"/>
      <c r="M505" s="6"/>
      <c r="N505" s="1"/>
      <c r="O505" s="1" t="str">
        <f>IFERROR(__xludf.DUMMYFUNCTION("GOOGLETRANSLATE(F505,""zh-CN"",""zh-TW"") "),"Vanir 是一款革命性的開源工具，旨在簡化安全補丁驗證流程，Vanir 協助開發者自動偵測平台程式碼中遺漏的安全修補程式。這項創新確保裝置能迅速接收關鍵安全更新，強化 Android 生態系統的安全性，並全球性地保護使用者。
將 Vanir 開源反映了我們致力於與更廣泛的信息安全社區互動，雖然是為 Android 量身打造，但 Vanir 靈活的架構使其能以最少的修改無縫整合到各種科技環境中。
Vanir 以原始碼為基礎的靜態分析方法脫穎而出。不同於傳統依賴版本號等元資料的方法，Vanir 直接檢查"&amp;"原始碼是否有已知漏洞。這種創新方法便於全面分析整個程式碼庫或特定程式碼片段，降低了元資料依賴系統常見的錯誤。
Vanir 的能力跨越不同生態系統。它為支援的程式語言產生簽名，透過自動產生和精煉簽名，實現快速回應漏洞。其效率的明證是，一位工程師僅用五天就識別出逾一百五十個漏洞，並驗證了跨分支的遺漏補丁。
目前，Vanir 支援 C/C++ 和 Java 目標，解決了 95% 公開補丁的 Android 核心和用戶空間 CVE 。與開源漏洞（OSV）數據庫整合，確保無需額外更新就能防禦新威脅。工具快速掃描"&amp;"的能力進一步提升了其價值。")</f>
        <v>Vanir 是一款革命性的開源工具，旨在簡化安全補丁驗證流程，Vanir 協助開發者自動偵測平台程式碼中遺漏的安全修補程式。這項創新確保裝置能迅速接收關鍵安全更新，強化 Android 生態系統的安全性，並全球性地保護使用者。
將 Vanir 開源反映了我們致力於與更廣泛的信息安全社區互動，雖然是為 Android 量身打造，但 Vanir 靈活的架構使其能以最少的修改無縫整合到各種科技環境中。
Vanir 以原始碼為基礎的靜態分析方法脫穎而出。不同於傳統依賴版本號等元資料的方法，Vanir 直接檢查原始碼是否有已知漏洞。這種創新方法便於全面分析整個程式碼庫或特定程式碼片段，降低了元資料依賴系統常見的錯誤。
Vanir 的能力跨越不同生態系統。它為支援的程式語言產生簽名，透過自動產生和精煉簽名，實現快速回應漏洞。其效率的明證是，一位工程師僅用五天就識別出逾一百五十個漏洞，並驗證了跨分支的遺漏補丁。
目前，Vanir 支援 C/C++ 和 Java 目標，解決了 95% 公開補丁的 Android 核心和用戶空間 CVE 。與開源漏洞（OSV）數據庫整合，確保無需額外更新就能防禦新威脅。工具快速掃描的能力進一步提升了其價值。</v>
      </c>
      <c r="P505" s="1"/>
      <c r="Q505" s="1"/>
      <c r="R505" s="1"/>
      <c r="S505" s="1"/>
      <c r="T505" s="1"/>
      <c r="U505" s="1"/>
      <c r="V505" s="1"/>
      <c r="W505" s="1"/>
      <c r="X505" s="1"/>
      <c r="Y505" s="1"/>
      <c r="Z505" s="1"/>
      <c r="AA505" s="1"/>
      <c r="AB505" s="1"/>
    </row>
    <row r="506" hidden="1" outlineLevel="1">
      <c r="A506" s="1" t="s">
        <v>519</v>
      </c>
      <c r="B506" s="1" t="s">
        <v>1836</v>
      </c>
      <c r="C506" s="1" t="s">
        <v>1837</v>
      </c>
      <c r="D506" s="1" t="s">
        <v>1838</v>
      </c>
      <c r="E506" s="27">
        <v>45629.0</v>
      </c>
      <c r="F506" s="17" t="s">
        <v>1839</v>
      </c>
      <c r="G506" s="7" t="s">
        <v>1840</v>
      </c>
      <c r="H506" s="16"/>
      <c r="I506" s="113" t="s">
        <v>1305</v>
      </c>
      <c r="J506" s="4" t="b">
        <v>0</v>
      </c>
      <c r="K506" s="4" t="b">
        <v>0</v>
      </c>
      <c r="L506" s="1"/>
      <c r="M506" s="6"/>
      <c r="N506" s="1"/>
      <c r="O506" s="1" t="str">
        <f>IFERROR(__xludf.DUMMYFUNCTION("GOOGLETRANSLATE(F506,""zh-CN"",""zh-TW"") "),"在開源安全不斷演進的環境中，一個令人憂心的趨勢已經浮現：低品質、類似垃圾訊息的安全報告氾濫，這些報告通常由人工智能係統產生。身為一個積極參與 CPython、pip、urllib3 和 Requests 等知名專案安全報告篩選的人，我親身見證了這些可疑報告所帶來的挑戰。在大型語言模型（LLM）主導的時代，這些報告乍看之下似乎很正當，但卻耗費大量時間來駁斥。其他項目，如 curl，也注意到類似的問題。
當報告者使用各種自動化安全工具產生漏洞報告，卻未運用關鍵的人類判斷時，核心問題就會產生。舉例來說，url"&amp;"lib3 收到一份標記 SSLv2 使用為不安全的報告，儘管我們明確打算停用它。這個普遍存在的問題影響了無數開源項目，尤其是安全工作的敏感性質，使維護者不願公開分享他們的經驗。
進行漏洞掃描的報告者應遵守最佳實踐：避免依賴人工智能 / 大型語言模型進行漏洞檢測；理解代碼需要人類洞察力。未經同意，不要在開源志願者身上進行實驗。
雖然許多漏洞報告者出於善意，旨在改善安全性，但大量報告品質低落，這影響了所有相關人員的體驗。我們必須迅速解決此問題，以維護開源安全工作的誠信和效能。")</f>
        <v>在開源安全不斷演進的環境中，一個令人憂心的趨勢已經浮現：低品質、類似垃圾訊息的安全報告氾濫，這些報告通常由人工智能係統產生。身為一個積極參與 CPython、pip、urllib3 和 Requests 等知名專案安全報告篩選的人，我親身見證了這些可疑報告所帶來的挑戰。在大型語言模型（LLM）主導的時代，這些報告乍看之下似乎很正當，但卻耗費大量時間來駁斥。其他項目，如 curl，也注意到類似的問題。
當報告者使用各種自動化安全工具產生漏洞報告，卻未運用關鍵的人類判斷時，核心問題就會產生。舉例來說，urllib3 收到一份標記 SSLv2 使用為不安全的報告，儘管我們明確打算停用它。這個普遍存在的問題影響了無數開源項目，尤其是安全工作的敏感性質，使維護者不願公開分享他們的經驗。
進行漏洞掃描的報告者應遵守最佳實踐：避免依賴人工智能 / 大型語言模型進行漏洞檢測；理解代碼需要人類洞察力。未經同意，不要在開源志願者身上進行實驗。
雖然許多漏洞報告者出於善意，旨在改善安全性，但大量報告品質低落，這影響了所有相關人員的體驗。我們必須迅速解決此問題，以維護開源安全工作的誠信和效能。</v>
      </c>
      <c r="P506" s="1"/>
      <c r="Q506" s="1"/>
      <c r="R506" s="1"/>
      <c r="S506" s="1"/>
      <c r="T506" s="1"/>
      <c r="U506" s="1"/>
      <c r="V506" s="1"/>
      <c r="W506" s="1"/>
      <c r="X506" s="1"/>
      <c r="Y506" s="1"/>
      <c r="Z506" s="1"/>
      <c r="AA506" s="1"/>
      <c r="AB506" s="1"/>
    </row>
    <row r="507" hidden="1" outlineLevel="1">
      <c r="A507" s="1" t="s">
        <v>519</v>
      </c>
      <c r="B507" s="1" t="s">
        <v>537</v>
      </c>
      <c r="C507" s="7" t="s">
        <v>1841</v>
      </c>
      <c r="D507" s="1" t="s">
        <v>1842</v>
      </c>
      <c r="E507" s="27">
        <v>45629.0</v>
      </c>
      <c r="F507" s="17" t="s">
        <v>1843</v>
      </c>
      <c r="G507" s="7" t="s">
        <v>1844</v>
      </c>
      <c r="H507" s="16"/>
      <c r="I507" s="113" t="s">
        <v>1305</v>
      </c>
      <c r="J507" s="4" t="b">
        <v>0</v>
      </c>
      <c r="K507" s="4" t="b">
        <v>0</v>
      </c>
      <c r="L507" s="1"/>
      <c r="M507" s="6"/>
      <c r="N507" s="1" t="s">
        <v>1845</v>
      </c>
      <c r="O507" s="1" t="str">
        <f>IFERROR(__xludf.DUMMYFUNCTION("GOOGLETRANSLATE(F507,""zh-CN"",""zh-TW"") "),"隨著 Broadcom 收購 VMware 後，使其收費漲幅超過百分之 1000，因此許多企業正轉移到開源的虛擬化方案。
英國雲端運營商 Beeks Group 就是一個顯著的案例，該公司近期將超過 2 萬台虛擬機器大部分轉移到開源雲端與邊緣運算平台 OpenNebula 。這項決策源於授權成本驚人的成長。 Beeks 生產管理負責人馬修克雷特尼表示，新的 VMware 軟件授權帳單比之前高出十倍。
OpenNebula Systems 執行長伊格納西奧·洛倫特針對此趨勢評論，指出許多組織正因信任問題"&amp;"加上近期頻繁的價格而上漲，而積極尋找封閉軟件的替代方案。他指出，企業如今更渴望掌控更具可靠性的解決方案。
Broadcom 的變革影響不僅限於 Beeks Group。像是 AT&amp;T 在跟 Broadcom 和解前，原本預估的 VMware 支出將增加逾 1,000 ％。為緩解反彈，Broadcom 推出針對中小企業的新訂閱層級，但這仍未阻止企業對 OpenNebula 等開源方案的興趣。")</f>
        <v>隨著 Broadcom 收購 VMware 後，使其收費漲幅超過百分之 1000，因此許多企業正轉移到開源的虛擬化方案。
英國雲端運營商 Beeks Group 就是一個顯著的案例，該公司近期將超過 2 萬台虛擬機器大部分轉移到開源雲端與邊緣運算平台 OpenNebula 。這項決策源於授權成本驚人的成長。 Beeks 生產管理負責人馬修克雷特尼表示，新的 VMware 軟件授權帳單比之前高出十倍。
OpenNebula Systems 執行長伊格納西奧·洛倫特針對此趨勢評論，指出許多組織正因信任問題加上近期頻繁的價格而上漲，而積極尋找封閉軟件的替代方案。他指出，企業如今更渴望掌控更具可靠性的解決方案。
Broadcom 的變革影響不僅限於 Beeks Group。像是 AT&amp;T 在跟 Broadcom 和解前，原本預估的 VMware 支出將增加逾 1,000 ％。為緩解反彈，Broadcom 推出針對中小企業的新訂閱層級，但這仍未阻止企業對 OpenNebula 等開源方案的興趣。</v>
      </c>
      <c r="P507" s="1"/>
      <c r="Q507" s="1"/>
      <c r="R507" s="1"/>
      <c r="S507" s="1"/>
      <c r="T507" s="1"/>
      <c r="U507" s="1"/>
      <c r="V507" s="1"/>
      <c r="W507" s="1"/>
      <c r="X507" s="1"/>
      <c r="Y507" s="1"/>
      <c r="Z507" s="1"/>
      <c r="AA507" s="1"/>
      <c r="AB507" s="1"/>
    </row>
    <row r="508" hidden="1" outlineLevel="1">
      <c r="A508" s="1" t="s">
        <v>507</v>
      </c>
      <c r="B508" s="1" t="s">
        <v>569</v>
      </c>
      <c r="C508" s="7" t="s">
        <v>1846</v>
      </c>
      <c r="D508" s="1" t="s">
        <v>1847</v>
      </c>
      <c r="E508" s="27"/>
      <c r="F508" s="1" t="s">
        <v>1848</v>
      </c>
      <c r="G508" s="7" t="s">
        <v>1849</v>
      </c>
      <c r="H508" s="9" t="s">
        <v>1850</v>
      </c>
      <c r="I508" s="113" t="s">
        <v>1305</v>
      </c>
      <c r="J508" s="4" t="b">
        <v>0</v>
      </c>
      <c r="K508" s="4" t="b">
        <v>0</v>
      </c>
      <c r="L508" s="1"/>
      <c r="M508" s="6"/>
      <c r="N508" s="1"/>
      <c r="O508" s="1" t="str">
        <f>IFERROR(__xludf.DUMMYFUNCTION("GOOGLETRANSLATE(F508,""zh-CN"",""zh-TW"") "),"一月一日為一批嶄新的創意作品揭開公共領域的大門，讓這些作品可以被自由享用、分享與再利用。著作權法的細微差異在全球各地各有不同，因此形成多元的公共領域類別。在此，我們聚焦在三大地區在 2025 年即將進入公共領域的作品：
在英國、俄羅斯、歐盟大部分地區及南美等「生命加七十年」版權期限的國家，1954 年逝世創作者的作品將可使用。
對於新西蘭和非洲、亞洲大部分地區的「生命加五十年」國家而言，1974 年逝世者的作品將進入公共領域。
在美國，1929 年出版的電影和書籍，包括相關藝術作品，將可公開取用。
備"&amp;"受期待的作品包括亨利·馬蒂斯的傑作和甘地的《我的真理實驗》。文學經典如海明威的《告別武器》、阿萊斯特·克勞利的《魔法：理論與實踐》，以及弗吉尼亞·吳爾夫的《屬於自己的房間》也將加入公共領域。此外，杜克艾靈頓的音樂作品和芙烈達卡羅爾的藝術創作也將可供使用。")</f>
        <v>一月一日為一批嶄新的創意作品揭開公共領域的大門，讓這些作品可以被自由享用、分享與再利用。著作權法的細微差異在全球各地各有不同，因此形成多元的公共領域類別。在此，我們聚焦在三大地區在 2025 年即將進入公共領域的作品：
在英國、俄羅斯、歐盟大部分地區及南美等「生命加七十年」版權期限的國家，1954 年逝世創作者的作品將可使用。
對於新西蘭和非洲、亞洲大部分地區的「生命加五十年」國家而言，1974 年逝世者的作品將進入公共領域。
在美國，1929 年出版的電影和書籍，包括相關藝術作品，將可公開取用。
備受期待的作品包括亨利·馬蒂斯的傑作和甘地的《我的真理實驗》。文學經典如海明威的《告別武器》、阿萊斯特·克勞利的《魔法：理論與實踐》，以及弗吉尼亞·吳爾夫的《屬於自己的房間》也將加入公共領域。此外，杜克艾靈頓的音樂作品和芙烈達卡羅爾的藝術創作也將可供使用。</v>
      </c>
      <c r="P508" s="1"/>
      <c r="Q508" s="1"/>
      <c r="R508" s="1"/>
      <c r="S508" s="1"/>
      <c r="T508" s="1"/>
      <c r="U508" s="1"/>
      <c r="V508" s="1"/>
      <c r="W508" s="1"/>
      <c r="X508" s="1"/>
      <c r="Y508" s="1"/>
      <c r="Z508" s="1"/>
      <c r="AA508" s="1"/>
      <c r="AB508" s="1"/>
    </row>
    <row r="509" hidden="1" outlineLevel="1">
      <c r="A509" s="1" t="s">
        <v>519</v>
      </c>
      <c r="B509" s="1" t="s">
        <v>520</v>
      </c>
      <c r="C509" s="7" t="s">
        <v>1851</v>
      </c>
      <c r="D509" s="1" t="s">
        <v>1852</v>
      </c>
      <c r="E509" s="27">
        <v>45624.0</v>
      </c>
      <c r="F509" s="1" t="s">
        <v>1853</v>
      </c>
      <c r="G509" s="7" t="s">
        <v>1854</v>
      </c>
      <c r="H509" s="16"/>
      <c r="I509" s="113" t="s">
        <v>1305</v>
      </c>
      <c r="J509" s="4" t="b">
        <v>0</v>
      </c>
      <c r="K509" s="4" t="b">
        <v>0</v>
      </c>
      <c r="L509" s="1"/>
      <c r="M509" s="6"/>
      <c r="N509" s="1"/>
      <c r="O509" s="1" t="str">
        <f>IFERROR(__xludf.DUMMYFUNCTION("GOOGLETRANSLATE(F509,""zh-CN"",""zh-TW"") "),"備受矚目的 GIMP 3.0 即將推出，為這款開源影像編輯器的發展史上劃下重要的里程碑。這次更新是自 2018 年 4 月以來首次重大升級，導入了許多嶄新的改善，包括全新的 GTK 3 用戶界面，以及核心平台和插件的轉型性變革。用戶可以期待更出色的效能、可用性，以及對 Wayland 和複雜輸入裝置的擴充相容性。
轉向 GTK 3 也帶來了煥然一新的用戶界面，支援 CSS 主題，提供四種預設主題，包含高對比度的無障礙設計選項。更新後的設計整合了 GTK 的標題列，造型更加簡潔，同時保留傳統菜單界面以維持"&amp;"熟悉感。全新的歡迎畫面為使用者提供實用的連結和快速設定選項，優化了軟件的初次使用體驗。
GIMP 3.0 的重點之一是無縫整合通用圖形庫（GEGL），大幅提升影像處理能力。這個非破壞性編輯框架讓使用者可以套用濾鏡和特效，而不會改變原始影像資料，並提供即時預覽，簡化編輯流程。記憶體管理和多執行緒的改善，為處理大型影像帶來顯著的速度提升。
GIMP 3.0 為開源影像編輯邁出重要的一步，為開源生態系統的持續成長和改​​進奠定了基礎。")</f>
        <v>備受矚目的 GIMP 3.0 即將推出，為這款開源影像編輯器的發展史上劃下重要的里程碑。這次更新是自 2018 年 4 月以來首次重大升級，導入了許多嶄新的改善，包括全新的 GTK 3 用戶界面，以及核心平台和插件的轉型性變革。用戶可以期待更出色的效能、可用性，以及對 Wayland 和複雜輸入裝置的擴充相容性。
轉向 GTK 3 也帶來了煥然一新的用戶界面，支援 CSS 主題，提供四種預設主題，包含高對比度的無障礙設計選項。更新後的設計整合了 GTK 的標題列，造型更加簡潔，同時保留傳統菜單界面以維持熟悉感。全新的歡迎畫面為使用者提供實用的連結和快速設定選項，優化了軟件的初次使用體驗。
GIMP 3.0 的重點之一是無縫整合通用圖形庫（GEGL），大幅提升影像處理能力。這個非破壞性編輯框架讓使用者可以套用濾鏡和特效，而不會改變原始影像資料，並提供即時預覽，簡化編輯流程。記憶體管理和多執行緒的改善，為處理大型影像帶來顯著的速度提升。
GIMP 3.0 為開源影像編輯邁出重要的一步，為開源生態系統的持續成長和改​​進奠定了基礎。</v>
      </c>
      <c r="P509" s="1"/>
      <c r="Q509" s="1"/>
      <c r="R509" s="1"/>
      <c r="S509" s="1"/>
      <c r="T509" s="1"/>
      <c r="U509" s="1"/>
      <c r="V509" s="1"/>
      <c r="W509" s="1"/>
      <c r="X509" s="1"/>
      <c r="Y509" s="1"/>
      <c r="Z509" s="1"/>
      <c r="AA509" s="1"/>
      <c r="AB509" s="1"/>
    </row>
    <row r="510" hidden="1" outlineLevel="1">
      <c r="A510" s="1" t="s">
        <v>507</v>
      </c>
      <c r="B510" s="1" t="s">
        <v>1855</v>
      </c>
      <c r="C510" s="7" t="s">
        <v>1856</v>
      </c>
      <c r="D510" s="1" t="s">
        <v>1857</v>
      </c>
      <c r="E510" s="27">
        <v>45627.0</v>
      </c>
      <c r="F510" s="1" t="s">
        <v>1858</v>
      </c>
      <c r="G510" s="7" t="s">
        <v>1859</v>
      </c>
      <c r="H510" s="16"/>
      <c r="I510" s="113" t="s">
        <v>1305</v>
      </c>
      <c r="J510" s="4" t="b">
        <v>0</v>
      </c>
      <c r="K510" s="4" t="b">
        <v>0</v>
      </c>
      <c r="L510" s="1"/>
      <c r="M510" s="6"/>
      <c r="N510" s="1"/>
      <c r="O510" s="1" t="str">
        <f>IFERROR(__xludf.DUMMYFUNCTION("GOOGLETRANSLATE(F510,""zh-CN"",""zh-TW"") "),"由於社群媒體 API 的存取受限，缺乏近期且公開的社群媒體資料，這阻礙了量化社會科學的進展。此資料集彙整了 bluesky 上龐大的社群互動和使用者產生的內容，意圖填補這個空白。資料集涵蓋超過四百萬名使用者的完整貼文歷史，佔所有註冊帳號的百分之八十一，共計兩億三千五百萬篇貼文。
資料集還提供追蹤、留言、轉貼和引用的相關資料。採用創用 CC 姓名標示 4.0 國際授權條款（cc-by-4.0）散佈。依照 GDPR（第 17 條），若使用者帳號在 2024 年 3 月 21 日前啟用，可要求刪除資料。資料集"&amp;"已去識別化以符合隱私規範，移除使用者名稱並粗化時間戳記，保護個人身分。
本計畫獲得以下單位支持：歐盟地平線 2020 計畫「INFRAI​​A-01-2018-2019 – 先進社群整合活動」，補助編號 871042。 SoBigData.it，由歐盟 NextGenerationEU 通過義大利國家復甦與韌性計劃（PNRR）資助，項目編號 IR0000013。歐盟 NextGenerationEU 計畫下的 PNRR-PE-AI FAIR 人工智慧研究資助計畫。
這個全面的資料集不僅促進社會科學研究"&amp;"的進展，也凸顯了開放資料對公共利益和數字環境透明度的重要性。")</f>
        <v>由於社群媒體 API 的存取受限，缺乏近期且公開的社群媒體資料，這阻礙了量化社會科學的進展。此資料集彙整了 bluesky 上龐大的社群互動和使用者產生的內容，意圖填補這個空白。資料集涵蓋超過四百萬名使用者的完整貼文歷史，佔所有註冊帳號的百分之八十一，共計兩億三千五百萬篇貼文。
資料集還提供追蹤、留言、轉貼和引用的相關資料。採用創用 CC 姓名標示 4.0 國際授權條款（cc-by-4.0）散佈。依照 GDPR（第 17 條），若使用者帳號在 2024 年 3 月 21 日前啟用，可要求刪除資料。資料集已去識別化以符合隱私規範，移除使用者名稱並粗化時間戳記，保護個人身分。
本計畫獲得以下單位支持：歐盟地平線 2020 計畫「INFRAI​​A-01-2018-2019 – 先進社群整合活動」，補助編號 871042。 SoBigData.it，由歐盟 NextGenerationEU 通過義大利國家復甦與韌性計劃（PNRR）資助，項目編號 IR0000013。歐盟 NextGenerationEU 計畫下的 PNRR-PE-AI FAIR 人工智慧研究資助計畫。
這個全面的資料集不僅促進社會科學研究的進展，也凸顯了開放資料對公共利益和數字環境透明度的重要性。</v>
      </c>
      <c r="P510" s="1"/>
      <c r="Q510" s="1"/>
      <c r="R510" s="1"/>
      <c r="S510" s="1"/>
      <c r="T510" s="1"/>
      <c r="U510" s="1"/>
      <c r="V510" s="1"/>
      <c r="W510" s="1"/>
      <c r="X510" s="1"/>
      <c r="Y510" s="1"/>
      <c r="Z510" s="1"/>
      <c r="AA510" s="1"/>
      <c r="AB510" s="1"/>
    </row>
    <row r="511" hidden="1" outlineLevel="1">
      <c r="A511" s="1" t="s">
        <v>519</v>
      </c>
      <c r="B511" s="1" t="s">
        <v>520</v>
      </c>
      <c r="C511" s="7" t="s">
        <v>1860</v>
      </c>
      <c r="D511" s="1" t="s">
        <v>1861</v>
      </c>
      <c r="E511" s="27">
        <v>45612.0</v>
      </c>
      <c r="F511" s="1" t="s">
        <v>1862</v>
      </c>
      <c r="G511" s="7" t="s">
        <v>1863</v>
      </c>
      <c r="H511" s="16"/>
      <c r="I511" s="113" t="s">
        <v>1305</v>
      </c>
      <c r="J511" s="4" t="b">
        <v>0</v>
      </c>
      <c r="K511" s="4" t="b">
        <v>0</v>
      </c>
      <c r="L511" s="1"/>
      <c r="M511" s="6"/>
      <c r="N511" s="1"/>
      <c r="O511" s="1" t="str">
        <f>IFERROR(__xludf.DUMMYFUNCTION("GOOGLETRANSLATE(F511,""zh-CN"",""zh-TW"") "),"ChipWits 是 1984 年麥金塔電腦最早推出的遊戲之一。聯合創始人 Doug Sharp 和 Mike Johnston 兼職在 8 位微型電腦間移植教育遊戲，以維持生計。在這期間，他們構思了第一款原創遊戲 ChipWits，是一款可以訓練問題解決能力並且能培養電腦程式開發概念的遊戲。
本月是 ChipWits 四十週年！為了紀念這個里程碑，我們將以 CC-BY SA 4.0 授權條款釋放所有可用的 Mac 和 Commodore 64 原始 FORTH 原始碼。")</f>
        <v>ChipWits 是 1984 年麥金塔電腦最早推出的遊戲之一。聯合創始人 Doug Sharp 和 Mike Johnston 兼職在 8 位微型電腦間移植教育遊戲，以維持生計。在這期間，他們構思了第一款原創遊戲 ChipWits，是一款可以訓練問題解決能力並且能培養電腦程式開發概念的遊戲。
本月是 ChipWits 四十週年！為了紀念這個里程碑，我們將以 CC-BY SA 4.0 授權條款釋放所有可用的 Mac 和 Commodore 64 原始 FORTH 原始碼。</v>
      </c>
      <c r="P511" s="1"/>
      <c r="Q511" s="1"/>
      <c r="R511" s="1"/>
      <c r="S511" s="1"/>
      <c r="T511" s="1"/>
      <c r="U511" s="1"/>
      <c r="V511" s="1"/>
      <c r="W511" s="1"/>
      <c r="X511" s="1"/>
      <c r="Y511" s="1"/>
      <c r="Z511" s="1"/>
      <c r="AA511" s="1"/>
      <c r="AB511" s="1"/>
    </row>
    <row r="512" hidden="1" outlineLevel="1">
      <c r="A512" s="1" t="s">
        <v>519</v>
      </c>
      <c r="B512" s="1" t="s">
        <v>809</v>
      </c>
      <c r="C512" s="1" t="s">
        <v>1864</v>
      </c>
      <c r="D512" s="1" t="s">
        <v>1865</v>
      </c>
      <c r="E512" s="27">
        <v>45546.0</v>
      </c>
      <c r="F512" s="17" t="s">
        <v>1866</v>
      </c>
      <c r="G512" s="7" t="s">
        <v>1867</v>
      </c>
      <c r="H512" s="16"/>
      <c r="I512" s="4" t="s">
        <v>1286</v>
      </c>
      <c r="J512" s="4" t="b">
        <v>0</v>
      </c>
      <c r="K512" s="4" t="b">
        <v>0</v>
      </c>
      <c r="L512" s="1" t="s">
        <v>1868</v>
      </c>
      <c r="M512" s="6"/>
      <c r="N512" s="1" t="s">
        <v>1869</v>
      </c>
      <c r="O512" s="1" t="str">
        <f>IFERROR(__xludf.DUMMYFUNCTION("GOOGLETRANSLATE(F512,""zh-CN"",""zh-TW"") "),"著作權法規定開源人工智能需要資料資訊而不是開放資料集
開源軟件作者提供原始碼、允許軟件複製使用，不會侵害第三方著作權。然各地的著作權法對於人工智能有一些法定例外- 即可已因人工智能目的進行文字與資料探勘(text and data mining)，亦即其訓練資料是來自其他人有著作權保護的資料，但只能複製，不能公開。因此，如果要求人工智能模型公開完整訓練資料集，就會違反著作權法。如果要確保人工智能模型之訓練合法，則會限制其學習的範圍。或跨國使用時，會因各國著作權法差異而有所限制。
開源AI 定義貢獻者之"&amp;"一 Felix Reda 強調，由於著作權法限制，要求公開所有訓練資料並不實際，且可能違背現有法律例外規定，例如文本和資料探勘(text and data mining)。他提出「資料資訊」(data information) 作為替代方案，此方案著重於提供足夠資訊讓其他人能重建類似的訓練資料集，而非直接公開原始資料。")</f>
        <v>著作權法規定開源人工智能需要資料資訊而不是開放資料集
開源軟件作者提供原始碼、允許軟件複製使用，不會侵害第三方著作權。然各地的著作權法對於人工智能有一些法定例外- 即可已因人工智能目的進行文字與資料探勘(text and data mining)，亦即其訓練資料是來自其他人有著作權保護的資料，但只能複製，不能公開。因此，如果要求人工智能模型公開完整訓練資料集，就會違反著作權法。如果要確保人工智能模型之訓練合法，則會限制其學習的範圍。或跨國使用時，會因各國著作權法差異而有所限制。
開源AI 定義貢獻者之一 Felix Reda 強調，由於著作權法限制，要求公開所有訓練資料並不實際，且可能違背現有法律例外規定，例如文本和資料探勘(text and data mining)。他提出「資料資訊」(data information) 作為替代方案，此方案著重於提供足夠資訊讓其他人能重建類似的訓練資料集，而非直接公開原始資料。</v>
      </c>
      <c r="P512" s="1"/>
      <c r="Q512" s="1"/>
      <c r="R512" s="1"/>
      <c r="S512" s="1"/>
      <c r="T512" s="1"/>
      <c r="U512" s="1"/>
      <c r="V512" s="1"/>
      <c r="W512" s="1"/>
      <c r="X512" s="1"/>
      <c r="Y512" s="1"/>
      <c r="Z512" s="1"/>
      <c r="AA512" s="1"/>
      <c r="AB512" s="1"/>
    </row>
    <row r="513" hidden="1" outlineLevel="1">
      <c r="A513" s="1" t="s">
        <v>519</v>
      </c>
      <c r="B513" s="1" t="s">
        <v>799</v>
      </c>
      <c r="C513" s="1" t="s">
        <v>1870</v>
      </c>
      <c r="D513" s="1" t="s">
        <v>1871</v>
      </c>
      <c r="E513" s="27">
        <v>45564.0</v>
      </c>
      <c r="F513" s="1" t="s">
        <v>1872</v>
      </c>
      <c r="G513" s="7" t="s">
        <v>1873</v>
      </c>
      <c r="H513" s="16"/>
      <c r="I513" s="4" t="s">
        <v>1286</v>
      </c>
      <c r="J513" s="4" t="b">
        <v>0</v>
      </c>
      <c r="K513" s="4" t="b">
        <v>0</v>
      </c>
      <c r="L513" s="1" t="s">
        <v>1874</v>
      </c>
      <c r="M513" s="6"/>
      <c r="N513" s="1"/>
      <c r="O513" s="1" t="str">
        <f>IFERROR(__xludf.DUMMYFUNCTION("GOOGLETRANSLATE(F513,""zh-CN"",""zh-TW"") "),"Elastic是企業搜尋和資料檢索引擎Elasticsearch和Kibana視覺化儀表板的創建者。在與亞馬遜的雲端子公司 AWS 發生數年衝突後，Elastic 於 2021 年轉向閉源。今年重返開源，該公司沒有重新採用以前寬鬆的 Apache 2.0 許可證，而是採用更嚴格的AGPL，它要求任何衍生軟件都在相同的 AGPL 許可證下發布。")</f>
        <v>Elastic是企業搜尋和資料檢索引擎Elasticsearch和Kibana視覺化儀表板的創建者。在與亞馬遜的雲端子公司 AWS 發生數年衝突後，Elastic 於 2021 年轉向閉源。今年重返開源，該公司沒有重新採用以前寬鬆的 Apache 2.0 許可證，而是採用更嚴格的AGPL，它要求任何衍生軟件都在相同的 AGPL 許可證下發布。</v>
      </c>
      <c r="P513" s="1"/>
      <c r="Q513" s="1"/>
      <c r="R513" s="1"/>
      <c r="S513" s="1"/>
      <c r="T513" s="1"/>
      <c r="U513" s="1"/>
      <c r="V513" s="1"/>
      <c r="W513" s="1"/>
      <c r="X513" s="1"/>
      <c r="Y513" s="1"/>
      <c r="Z513" s="1"/>
      <c r="AA513" s="1"/>
      <c r="AB513" s="1"/>
    </row>
    <row r="514" hidden="1" outlineLevel="1">
      <c r="A514" s="1" t="s">
        <v>519</v>
      </c>
      <c r="B514" s="1" t="s">
        <v>1089</v>
      </c>
      <c r="C514" s="1" t="s">
        <v>1870</v>
      </c>
      <c r="D514" s="1" t="s">
        <v>1875</v>
      </c>
      <c r="E514" s="27">
        <v>45566.0</v>
      </c>
      <c r="F514" s="1" t="s">
        <v>1876</v>
      </c>
      <c r="G514" s="7" t="s">
        <v>1877</v>
      </c>
      <c r="H514" s="16"/>
      <c r="I514" s="4" t="s">
        <v>1286</v>
      </c>
      <c r="J514" s="4" t="b">
        <v>0</v>
      </c>
      <c r="K514" s="4" t="b">
        <v>0</v>
      </c>
      <c r="L514" s="1" t="s">
        <v>1878</v>
      </c>
      <c r="M514" s="6"/>
      <c r="N514" s="1" t="s">
        <v>1803</v>
      </c>
      <c r="O514" s="1" t="str">
        <f>IFERROR(__xludf.DUMMYFUNCTION("GOOGLETRANSLATE(F514,""zh-CN"",""zh-TW"") "),"英國開源新創公司的獲利模式：不銷售開源專案產品，而是將其作為營銷工具
新創公司建立開源業務的典型軌跡是這樣的：創造一個解決實際問題的開源產品；該產品受到了開發人員的關注，成為他們堆疊中不可或缺的工具；該初創公司在核心開源項目之上創建商業服務和功能，使其更加有用。
但越來越多企業以某種形式退出開源，如採用不寬鬆/嚴格的開源授權 (如 Grafana) 或是完全放棄(如 HashiCorp)，為了保護公司的開源產品憑證不被大公司利用。甚至出現甚至出現了一種全新的授權模式「公平原始碼」(Fair Sourc"&amp;"e)，如來解決開源中的「使用和濫用」問題。此為開發工具公司 Sentry 推動，尋求與「開放」軟件(“open” software ) 保持一致，但實際上並不開源。
此文介紹開源新創公司Pydantic的不同作法- 他本身有個開源項目Pydantic，但並不尋求將其作為商業產品銷售，而是利用其項目的吸引力來銷售其他產品 (Logfire 開源數據驗證框架)，而獲得 A 輪融資。")</f>
        <v>英國開源新創公司的獲利模式：不銷售開源專案產品，而是將其作為營銷工具
新創公司建立開源業務的典型軌跡是這樣的：創造一個解決實際問題的開源產品；該產品受到了開發人員的關注，成為他們堆疊中不可或缺的工具；該初創公司在核心開源項目之上創建商業服務和功能，使其更加有用。
但越來越多企業以某種形式退出開源，如採用不寬鬆/嚴格的開源授權 (如 Grafana) 或是完全放棄(如 HashiCorp)，為了保護公司的開源產品憑證不被大公司利用。甚至出現甚至出現了一種全新的授權模式「公平原始碼」(Fair Source)，如來解決開源中的「使用和濫用」問題。此為開發工具公司 Sentry 推動，尋求與「開放」軟件(“open” software ) 保持一致，但實際上並不開源。
此文介紹開源新創公司Pydantic的不同作法- 他本身有個開源項目Pydantic，但並不尋求將其作為商業產品銷售，而是利用其項目的吸引力來銷售其他產品 (Logfire 開源數據驗證框架)，而獲得 A 輪融資。</v>
      </c>
      <c r="P514" s="1"/>
      <c r="Q514" s="1"/>
      <c r="R514" s="1"/>
      <c r="S514" s="1"/>
      <c r="T514" s="1"/>
      <c r="U514" s="1"/>
      <c r="V514" s="1"/>
      <c r="W514" s="1"/>
      <c r="X514" s="1"/>
      <c r="Y514" s="1"/>
      <c r="Z514" s="1"/>
      <c r="AA514" s="1"/>
      <c r="AB514" s="1"/>
    </row>
    <row r="515" collapsed="1">
      <c r="A515" s="1"/>
      <c r="B515" s="1"/>
      <c r="C515" s="1"/>
      <c r="D515" s="1"/>
      <c r="E515" s="94" t="s">
        <v>1879</v>
      </c>
      <c r="F515" s="1"/>
      <c r="G515" s="5"/>
      <c r="H515" s="16"/>
      <c r="I515" s="4"/>
      <c r="J515" s="4" t="b">
        <v>0</v>
      </c>
      <c r="K515" s="4" t="b">
        <v>0</v>
      </c>
      <c r="L515" s="1"/>
      <c r="M515" s="6"/>
      <c r="N515" s="1"/>
      <c r="O515" s="1"/>
      <c r="P515" s="1"/>
      <c r="Q515" s="1"/>
      <c r="R515" s="1"/>
      <c r="S515" s="1"/>
      <c r="T515" s="1"/>
      <c r="U515" s="1"/>
      <c r="V515" s="1"/>
      <c r="W515" s="1"/>
      <c r="X515" s="1"/>
      <c r="Y515" s="1"/>
      <c r="Z515" s="1"/>
      <c r="AA515" s="1"/>
      <c r="AB515" s="1"/>
    </row>
    <row r="516">
      <c r="A516" s="1" t="s">
        <v>519</v>
      </c>
      <c r="B516" s="1" t="s">
        <v>594</v>
      </c>
      <c r="C516" s="1" t="s">
        <v>1880</v>
      </c>
      <c r="D516" s="1" t="s">
        <v>1881</v>
      </c>
      <c r="E516" s="27">
        <v>45636.0</v>
      </c>
      <c r="F516" s="17" t="s">
        <v>1882</v>
      </c>
      <c r="G516" s="7" t="s">
        <v>1883</v>
      </c>
      <c r="H516" s="16"/>
      <c r="I516" s="4" t="s">
        <v>1305</v>
      </c>
      <c r="J516" s="4" t="b">
        <v>0</v>
      </c>
      <c r="K516" s="4" t="b">
        <v>0</v>
      </c>
      <c r="L516" s="1"/>
      <c r="M516" s="6"/>
      <c r="N516" s="1"/>
      <c r="O516" s="1"/>
      <c r="P516" s="1"/>
      <c r="Q516" s="1"/>
      <c r="R516" s="1"/>
      <c r="S516" s="1"/>
      <c r="T516" s="1"/>
      <c r="U516" s="1"/>
      <c r="V516" s="1"/>
      <c r="W516" s="1"/>
      <c r="X516" s="1"/>
      <c r="Y516" s="1"/>
      <c r="Z516" s="1"/>
      <c r="AA516" s="1"/>
      <c r="AB516" s="1"/>
    </row>
    <row r="517">
      <c r="A517" s="1" t="s">
        <v>519</v>
      </c>
      <c r="B517" s="1" t="s">
        <v>599</v>
      </c>
      <c r="C517" s="1" t="s">
        <v>1884</v>
      </c>
      <c r="D517" s="1" t="s">
        <v>1885</v>
      </c>
      <c r="E517" s="27">
        <v>45591.0</v>
      </c>
      <c r="F517" s="17" t="s">
        <v>1886</v>
      </c>
      <c r="G517" s="7" t="s">
        <v>1887</v>
      </c>
      <c r="H517" s="16"/>
      <c r="I517" s="4" t="s">
        <v>1305</v>
      </c>
      <c r="J517" s="4" t="b">
        <v>0</v>
      </c>
      <c r="K517" s="4" t="b">
        <v>0</v>
      </c>
      <c r="L517" s="1"/>
      <c r="M517" s="6"/>
      <c r="N517" s="1"/>
      <c r="O517" s="1"/>
      <c r="P517" s="1"/>
      <c r="Q517" s="1"/>
      <c r="R517" s="1"/>
      <c r="S517" s="1"/>
      <c r="T517" s="1"/>
      <c r="U517" s="1"/>
      <c r="V517" s="1"/>
      <c r="W517" s="1"/>
      <c r="X517" s="1"/>
      <c r="Y517" s="1"/>
      <c r="Z517" s="1"/>
      <c r="AA517" s="1"/>
      <c r="AB517" s="1"/>
    </row>
    <row r="518">
      <c r="A518" s="1" t="s">
        <v>519</v>
      </c>
      <c r="B518" s="1" t="s">
        <v>809</v>
      </c>
      <c r="C518" s="1" t="s">
        <v>1888</v>
      </c>
      <c r="D518" s="1" t="s">
        <v>1889</v>
      </c>
      <c r="E518" s="27">
        <v>45590.0</v>
      </c>
      <c r="F518" s="1" t="s">
        <v>1890</v>
      </c>
      <c r="G518" s="7" t="s">
        <v>1891</v>
      </c>
      <c r="H518" s="16"/>
      <c r="I518" s="4" t="s">
        <v>1305</v>
      </c>
      <c r="J518" s="4" t="b">
        <v>0</v>
      </c>
      <c r="K518" s="4" t="b">
        <v>0</v>
      </c>
      <c r="L518" s="1"/>
      <c r="M518" s="6"/>
      <c r="N518" s="1"/>
      <c r="O518" s="1"/>
      <c r="P518" s="1"/>
      <c r="Q518" s="1"/>
      <c r="R518" s="1"/>
      <c r="S518" s="1"/>
      <c r="T518" s="1"/>
      <c r="U518" s="1"/>
      <c r="V518" s="1"/>
      <c r="W518" s="1"/>
      <c r="X518" s="1"/>
      <c r="Y518" s="1"/>
      <c r="Z518" s="1"/>
      <c r="AA518" s="1"/>
      <c r="AB518" s="1"/>
    </row>
    <row r="519">
      <c r="A519" s="1" t="s">
        <v>519</v>
      </c>
      <c r="B519" s="1" t="s">
        <v>537</v>
      </c>
      <c r="C519" s="1" t="s">
        <v>1892</v>
      </c>
      <c r="D519" s="1" t="s">
        <v>1893</v>
      </c>
      <c r="E519" s="27">
        <v>45609.0</v>
      </c>
      <c r="F519" s="1" t="s">
        <v>1894</v>
      </c>
      <c r="G519" s="7" t="s">
        <v>1895</v>
      </c>
      <c r="H519" s="16"/>
      <c r="I519" s="4" t="s">
        <v>1305</v>
      </c>
      <c r="J519" s="4" t="b">
        <v>0</v>
      </c>
      <c r="K519" s="4" t="b">
        <v>0</v>
      </c>
      <c r="L519" s="1"/>
      <c r="M519" s="6"/>
      <c r="N519" s="1"/>
      <c r="O519" s="1"/>
      <c r="P519" s="1"/>
      <c r="Q519" s="1"/>
      <c r="R519" s="1"/>
      <c r="S519" s="1"/>
      <c r="T519" s="1"/>
      <c r="U519" s="1"/>
      <c r="V519" s="1"/>
      <c r="W519" s="1"/>
      <c r="X519" s="1"/>
      <c r="Y519" s="1"/>
      <c r="Z519" s="1"/>
      <c r="AA519" s="1"/>
      <c r="AB519" s="1"/>
    </row>
    <row r="520">
      <c r="A520" s="1" t="s">
        <v>519</v>
      </c>
      <c r="B520" s="1" t="s">
        <v>537</v>
      </c>
      <c r="C520" s="7" t="s">
        <v>1896</v>
      </c>
      <c r="D520" s="1" t="s">
        <v>1897</v>
      </c>
      <c r="E520" s="27"/>
      <c r="F520" s="1" t="s">
        <v>1898</v>
      </c>
      <c r="G520" s="7" t="s">
        <v>1899</v>
      </c>
      <c r="H520" s="16"/>
      <c r="I520" s="4" t="s">
        <v>1305</v>
      </c>
      <c r="J520" s="4" t="b">
        <v>0</v>
      </c>
      <c r="K520" s="4" t="b">
        <v>0</v>
      </c>
      <c r="L520" s="1"/>
      <c r="M520" s="6"/>
      <c r="N520" s="1"/>
      <c r="O520" s="1"/>
      <c r="P520" s="1"/>
      <c r="Q520" s="1"/>
      <c r="R520" s="1"/>
      <c r="S520" s="1"/>
      <c r="T520" s="1"/>
      <c r="U520" s="1"/>
      <c r="V520" s="1"/>
      <c r="W520" s="1"/>
      <c r="X520" s="1"/>
      <c r="Y520" s="1"/>
      <c r="Z520" s="1"/>
      <c r="AA520" s="1"/>
      <c r="AB520" s="1"/>
    </row>
    <row r="521">
      <c r="A521" s="1" t="s">
        <v>519</v>
      </c>
      <c r="B521" s="1" t="s">
        <v>680</v>
      </c>
      <c r="C521" s="7" t="s">
        <v>1900</v>
      </c>
      <c r="D521" s="1" t="s">
        <v>1901</v>
      </c>
      <c r="E521" s="27">
        <v>45638.0</v>
      </c>
      <c r="F521" s="17" t="s">
        <v>1902</v>
      </c>
      <c r="G521" s="7" t="s">
        <v>1903</v>
      </c>
      <c r="H521" s="16"/>
      <c r="I521" s="4" t="s">
        <v>1305</v>
      </c>
      <c r="J521" s="4" t="b">
        <v>0</v>
      </c>
      <c r="K521" s="4" t="b">
        <v>0</v>
      </c>
      <c r="L521" s="1"/>
      <c r="M521" s="6"/>
      <c r="N521" s="1"/>
      <c r="O521" s="1"/>
      <c r="P521" s="1"/>
      <c r="Q521" s="1"/>
      <c r="R521" s="1"/>
      <c r="S521" s="1"/>
      <c r="T521" s="1"/>
      <c r="U521" s="1"/>
      <c r="V521" s="1"/>
      <c r="W521" s="1"/>
      <c r="X521" s="1"/>
      <c r="Y521" s="1"/>
      <c r="Z521" s="1"/>
      <c r="AA521" s="1"/>
      <c r="AB521" s="1"/>
    </row>
    <row r="522">
      <c r="A522" s="1" t="s">
        <v>519</v>
      </c>
      <c r="B522" s="1" t="s">
        <v>599</v>
      </c>
      <c r="C522" s="7" t="s">
        <v>1904</v>
      </c>
      <c r="D522" s="1" t="s">
        <v>1905</v>
      </c>
      <c r="E522" s="27">
        <v>45579.0</v>
      </c>
      <c r="F522" s="17" t="s">
        <v>1906</v>
      </c>
      <c r="G522" s="7" t="s">
        <v>1907</v>
      </c>
      <c r="H522" s="16"/>
      <c r="I522" s="4" t="s">
        <v>1305</v>
      </c>
      <c r="J522" s="4" t="b">
        <v>0</v>
      </c>
      <c r="K522" s="4" t="b">
        <v>0</v>
      </c>
      <c r="L522" s="1"/>
      <c r="M522" s="6"/>
      <c r="N522" s="1"/>
      <c r="O522" s="1"/>
      <c r="P522" s="1"/>
      <c r="Q522" s="1"/>
      <c r="R522" s="1"/>
      <c r="S522" s="1"/>
      <c r="T522" s="1"/>
      <c r="U522" s="1"/>
      <c r="V522" s="1"/>
      <c r="W522" s="1"/>
      <c r="X522" s="1"/>
      <c r="Y522" s="1"/>
      <c r="Z522" s="1"/>
      <c r="AA522" s="1"/>
      <c r="AB522" s="1"/>
    </row>
    <row r="523">
      <c r="A523" s="1" t="s">
        <v>519</v>
      </c>
      <c r="B523" s="1" t="s">
        <v>520</v>
      </c>
      <c r="C523" s="7" t="s">
        <v>1908</v>
      </c>
      <c r="D523" s="1" t="s">
        <v>1909</v>
      </c>
      <c r="E523" s="27">
        <v>45567.0</v>
      </c>
      <c r="F523" s="114" t="s">
        <v>1910</v>
      </c>
      <c r="G523" s="7" t="s">
        <v>1911</v>
      </c>
      <c r="H523" s="16"/>
      <c r="I523" s="4" t="s">
        <v>1305</v>
      </c>
      <c r="J523" s="4" t="b">
        <v>0</v>
      </c>
      <c r="K523" s="4" t="b">
        <v>0</v>
      </c>
      <c r="L523" s="1"/>
      <c r="M523" s="6"/>
      <c r="N523" s="1"/>
      <c r="O523" s="1"/>
      <c r="P523" s="1"/>
      <c r="Q523" s="1"/>
      <c r="R523" s="1"/>
      <c r="S523" s="1"/>
      <c r="T523" s="1"/>
      <c r="U523" s="1"/>
      <c r="V523" s="1"/>
      <c r="W523" s="1"/>
      <c r="X523" s="1"/>
      <c r="Y523" s="1"/>
      <c r="Z523" s="1"/>
      <c r="AA523" s="1"/>
      <c r="AB523" s="1"/>
    </row>
    <row r="524">
      <c r="A524" s="1" t="s">
        <v>519</v>
      </c>
      <c r="B524" s="1" t="s">
        <v>520</v>
      </c>
      <c r="C524" s="1" t="s">
        <v>1912</v>
      </c>
      <c r="D524" s="1" t="s">
        <v>1913</v>
      </c>
      <c r="E524" s="27">
        <v>45567.0</v>
      </c>
      <c r="F524" s="1" t="s">
        <v>1914</v>
      </c>
      <c r="G524" s="7" t="s">
        <v>1915</v>
      </c>
      <c r="H524" s="16"/>
      <c r="I524" s="4" t="s">
        <v>1305</v>
      </c>
      <c r="J524" s="4" t="b">
        <v>0</v>
      </c>
      <c r="K524" s="4" t="b">
        <v>0</v>
      </c>
      <c r="L524" s="1"/>
      <c r="M524" s="6"/>
      <c r="N524" s="1"/>
      <c r="O524" s="1"/>
      <c r="P524" s="1"/>
      <c r="Q524" s="1"/>
      <c r="R524" s="1"/>
      <c r="S524" s="1"/>
      <c r="T524" s="1"/>
      <c r="U524" s="1"/>
      <c r="V524" s="1"/>
      <c r="W524" s="1"/>
      <c r="X524" s="1"/>
      <c r="Y524" s="1"/>
      <c r="Z524" s="1"/>
      <c r="AA524" s="1"/>
      <c r="AB524" s="1"/>
    </row>
    <row r="525">
      <c r="A525" s="1" t="s">
        <v>519</v>
      </c>
      <c r="B525" s="1" t="s">
        <v>520</v>
      </c>
      <c r="C525" s="7" t="s">
        <v>1916</v>
      </c>
      <c r="D525" s="1" t="s">
        <v>1917</v>
      </c>
      <c r="E525" s="27">
        <v>45586.0</v>
      </c>
      <c r="F525" s="1" t="s">
        <v>1918</v>
      </c>
      <c r="G525" s="7" t="s">
        <v>1919</v>
      </c>
      <c r="H525" s="16"/>
      <c r="I525" s="4" t="s">
        <v>1305</v>
      </c>
      <c r="J525" s="4" t="b">
        <v>0</v>
      </c>
      <c r="K525" s="4" t="b">
        <v>0</v>
      </c>
      <c r="L525" s="1"/>
      <c r="M525" s="6"/>
      <c r="N525" s="1"/>
      <c r="O525" s="1"/>
      <c r="P525" s="1"/>
      <c r="Q525" s="1"/>
      <c r="R525" s="1"/>
      <c r="S525" s="1"/>
      <c r="T525" s="1"/>
      <c r="U525" s="1"/>
      <c r="V525" s="1"/>
      <c r="W525" s="1"/>
      <c r="X525" s="1"/>
      <c r="Y525" s="1"/>
      <c r="Z525" s="1"/>
      <c r="AA525" s="1"/>
      <c r="AB525" s="1"/>
    </row>
    <row r="526">
      <c r="A526" s="1" t="s">
        <v>519</v>
      </c>
      <c r="B526" s="1" t="s">
        <v>529</v>
      </c>
      <c r="C526" s="1" t="s">
        <v>1072</v>
      </c>
      <c r="D526" s="1" t="s">
        <v>1905</v>
      </c>
      <c r="E526" s="27">
        <v>45569.0</v>
      </c>
      <c r="F526" s="1" t="s">
        <v>1920</v>
      </c>
      <c r="G526" s="7" t="s">
        <v>1907</v>
      </c>
      <c r="H526" s="16"/>
      <c r="I526" s="4" t="s">
        <v>1280</v>
      </c>
      <c r="J526" s="4" t="b">
        <v>0</v>
      </c>
      <c r="K526" s="4" t="b">
        <v>0</v>
      </c>
      <c r="L526" s="1"/>
      <c r="M526" s="6"/>
      <c r="N526" s="1"/>
      <c r="O526" s="1"/>
      <c r="P526" s="1"/>
      <c r="Q526" s="1"/>
      <c r="R526" s="1"/>
      <c r="S526" s="1"/>
      <c r="T526" s="1"/>
      <c r="U526" s="1"/>
      <c r="V526" s="1"/>
      <c r="W526" s="1"/>
      <c r="X526" s="1"/>
      <c r="Y526" s="1"/>
      <c r="Z526" s="1"/>
      <c r="AA526" s="1"/>
      <c r="AB526" s="1"/>
    </row>
    <row r="527">
      <c r="A527" s="1" t="s">
        <v>519</v>
      </c>
      <c r="B527" s="1" t="s">
        <v>537</v>
      </c>
      <c r="C527" s="1" t="s">
        <v>1921</v>
      </c>
      <c r="D527" s="1" t="s">
        <v>1922</v>
      </c>
      <c r="E527" s="27">
        <v>45574.0</v>
      </c>
      <c r="F527" s="17" t="s">
        <v>1923</v>
      </c>
      <c r="G527" s="7" t="s">
        <v>1924</v>
      </c>
      <c r="H527" s="16"/>
      <c r="I527" s="4" t="s">
        <v>1280</v>
      </c>
      <c r="J527" s="4" t="b">
        <v>0</v>
      </c>
      <c r="K527" s="4" t="b">
        <v>0</v>
      </c>
      <c r="L527" s="1"/>
      <c r="M527" s="6"/>
      <c r="N527" s="1"/>
      <c r="O527" s="1"/>
      <c r="P527" s="1"/>
      <c r="Q527" s="1"/>
      <c r="R527" s="1"/>
      <c r="S527" s="1"/>
      <c r="T527" s="1"/>
      <c r="U527" s="1"/>
      <c r="V527" s="1"/>
      <c r="W527" s="1"/>
      <c r="X527" s="1"/>
      <c r="Y527" s="1"/>
      <c r="Z527" s="1"/>
      <c r="AA527" s="1"/>
      <c r="AB527" s="1"/>
    </row>
    <row r="528">
      <c r="A528" s="1" t="s">
        <v>519</v>
      </c>
      <c r="B528" s="1" t="s">
        <v>520</v>
      </c>
      <c r="C528" s="1" t="s">
        <v>1925</v>
      </c>
      <c r="D528" s="1" t="s">
        <v>1926</v>
      </c>
      <c r="E528" s="27">
        <v>45575.0</v>
      </c>
      <c r="F528" s="17" t="s">
        <v>1927</v>
      </c>
      <c r="G528" s="7" t="s">
        <v>1928</v>
      </c>
      <c r="H528" s="16"/>
      <c r="I528" s="4" t="s">
        <v>1280</v>
      </c>
      <c r="J528" s="4" t="b">
        <v>0</v>
      </c>
      <c r="K528" s="4" t="b">
        <v>0</v>
      </c>
      <c r="L528" s="1"/>
      <c r="M528" s="6"/>
      <c r="N528" s="1"/>
      <c r="O528" s="1"/>
      <c r="P528" s="1"/>
      <c r="Q528" s="1"/>
      <c r="R528" s="1"/>
      <c r="S528" s="1"/>
      <c r="T528" s="1"/>
      <c r="U528" s="1"/>
      <c r="V528" s="1"/>
      <c r="W528" s="1"/>
      <c r="X528" s="1"/>
      <c r="Y528" s="1"/>
      <c r="Z528" s="1"/>
      <c r="AA528" s="1"/>
      <c r="AB528" s="1"/>
    </row>
    <row r="529">
      <c r="A529" s="1" t="s">
        <v>519</v>
      </c>
      <c r="B529" s="1" t="s">
        <v>529</v>
      </c>
      <c r="C529" s="1" t="s">
        <v>1929</v>
      </c>
      <c r="D529" s="1" t="s">
        <v>1930</v>
      </c>
      <c r="E529" s="27">
        <v>45580.0</v>
      </c>
      <c r="F529" s="17" t="s">
        <v>1931</v>
      </c>
      <c r="G529" s="7" t="s">
        <v>1932</v>
      </c>
      <c r="H529" s="16"/>
      <c r="I529" s="4" t="s">
        <v>1280</v>
      </c>
      <c r="J529" s="4" t="b">
        <v>0</v>
      </c>
      <c r="K529" s="4" t="b">
        <v>0</v>
      </c>
      <c r="L529" s="1"/>
      <c r="M529" s="6"/>
      <c r="N529" s="1"/>
      <c r="O529" s="1"/>
      <c r="P529" s="1"/>
      <c r="Q529" s="1"/>
      <c r="R529" s="1"/>
      <c r="S529" s="1"/>
      <c r="T529" s="1"/>
      <c r="U529" s="1"/>
      <c r="V529" s="1"/>
      <c r="W529" s="1"/>
      <c r="X529" s="1"/>
      <c r="Y529" s="1"/>
      <c r="Z529" s="1"/>
      <c r="AA529" s="1"/>
      <c r="AB529" s="1"/>
    </row>
    <row r="530">
      <c r="A530" s="1" t="s">
        <v>519</v>
      </c>
      <c r="B530" s="1" t="s">
        <v>529</v>
      </c>
      <c r="C530" s="1" t="s">
        <v>1933</v>
      </c>
      <c r="D530" s="1" t="s">
        <v>1934</v>
      </c>
      <c r="E530" s="27">
        <v>45640.0</v>
      </c>
      <c r="F530" s="1" t="s">
        <v>1935</v>
      </c>
      <c r="G530" s="7" t="s">
        <v>1936</v>
      </c>
      <c r="H530" s="16"/>
      <c r="I530" s="4" t="s">
        <v>1280</v>
      </c>
      <c r="J530" s="4" t="b">
        <v>0</v>
      </c>
      <c r="K530" s="4" t="b">
        <v>0</v>
      </c>
      <c r="L530" s="1"/>
      <c r="M530" s="6"/>
      <c r="N530" s="1"/>
      <c r="O530" s="1"/>
      <c r="P530" s="1"/>
      <c r="Q530" s="1"/>
      <c r="R530" s="1"/>
      <c r="S530" s="1"/>
      <c r="T530" s="1"/>
      <c r="U530" s="1"/>
      <c r="V530" s="1"/>
      <c r="W530" s="1"/>
      <c r="X530" s="1"/>
      <c r="Y530" s="1"/>
      <c r="Z530" s="1"/>
      <c r="AA530" s="1"/>
      <c r="AB530" s="1"/>
    </row>
    <row r="531">
      <c r="A531" s="1" t="s">
        <v>519</v>
      </c>
      <c r="B531" s="1" t="s">
        <v>520</v>
      </c>
      <c r="C531" s="1" t="s">
        <v>1937</v>
      </c>
      <c r="D531" s="1" t="s">
        <v>1938</v>
      </c>
      <c r="E531" s="27">
        <v>45600.0</v>
      </c>
      <c r="F531" s="1" t="s">
        <v>1939</v>
      </c>
      <c r="G531" s="7" t="s">
        <v>1940</v>
      </c>
      <c r="H531" s="16"/>
      <c r="I531" s="4" t="s">
        <v>1305</v>
      </c>
      <c r="J531" s="4" t="b">
        <v>0</v>
      </c>
      <c r="K531" s="4" t="b">
        <v>0</v>
      </c>
      <c r="L531" s="1"/>
      <c r="M531" s="6"/>
      <c r="N531" s="1"/>
      <c r="O531" s="1"/>
      <c r="P531" s="1"/>
      <c r="Q531" s="1"/>
      <c r="R531" s="1"/>
      <c r="S531" s="1"/>
      <c r="T531" s="1"/>
      <c r="U531" s="1"/>
      <c r="V531" s="1"/>
      <c r="W531" s="1"/>
      <c r="X531" s="1"/>
      <c r="Y531" s="1"/>
      <c r="Z531" s="1"/>
      <c r="AA531" s="1"/>
      <c r="AB531" s="1"/>
    </row>
    <row r="532">
      <c r="A532" s="1" t="s">
        <v>519</v>
      </c>
      <c r="B532" s="1" t="s">
        <v>520</v>
      </c>
      <c r="C532" s="1" t="s">
        <v>1941</v>
      </c>
      <c r="D532" s="1" t="s">
        <v>1942</v>
      </c>
      <c r="E532" s="27">
        <v>45605.0</v>
      </c>
      <c r="F532" s="1" t="s">
        <v>1943</v>
      </c>
      <c r="G532" s="7" t="s">
        <v>1944</v>
      </c>
      <c r="H532" s="16"/>
      <c r="I532" s="4" t="s">
        <v>1305</v>
      </c>
      <c r="J532" s="4" t="b">
        <v>0</v>
      </c>
      <c r="K532" s="4" t="b">
        <v>0</v>
      </c>
      <c r="L532" s="1"/>
      <c r="M532" s="6"/>
      <c r="N532" s="1"/>
      <c r="O532" s="1"/>
      <c r="P532" s="1"/>
      <c r="Q532" s="1"/>
      <c r="R532" s="1"/>
      <c r="S532" s="1"/>
      <c r="T532" s="1"/>
      <c r="U532" s="1"/>
      <c r="V532" s="1"/>
      <c r="W532" s="1"/>
      <c r="X532" s="1"/>
      <c r="Y532" s="1"/>
      <c r="Z532" s="1"/>
      <c r="AA532" s="1"/>
      <c r="AB532" s="1"/>
    </row>
    <row r="533">
      <c r="A533" s="1" t="s">
        <v>519</v>
      </c>
      <c r="B533" s="1" t="s">
        <v>599</v>
      </c>
      <c r="C533" s="1" t="s">
        <v>1945</v>
      </c>
      <c r="D533" s="1" t="s">
        <v>1946</v>
      </c>
      <c r="E533" s="27">
        <v>45634.0</v>
      </c>
      <c r="F533" s="17" t="s">
        <v>1947</v>
      </c>
      <c r="G533" s="7" t="s">
        <v>1948</v>
      </c>
      <c r="H533" s="16"/>
      <c r="I533" s="4" t="s">
        <v>1305</v>
      </c>
      <c r="J533" s="4" t="b">
        <v>0</v>
      </c>
      <c r="K533" s="4" t="b">
        <v>0</v>
      </c>
      <c r="L533" s="1"/>
      <c r="M533" s="6"/>
      <c r="N533" s="1"/>
      <c r="O533" s="1"/>
      <c r="P533" s="1"/>
      <c r="Q533" s="1"/>
      <c r="R533" s="1"/>
      <c r="S533" s="1"/>
      <c r="T533" s="1"/>
      <c r="U533" s="1"/>
      <c r="V533" s="1"/>
      <c r="W533" s="1"/>
      <c r="X533" s="1"/>
      <c r="Y533" s="1"/>
      <c r="Z533" s="1"/>
      <c r="AA533" s="1"/>
      <c r="AB533" s="1"/>
    </row>
    <row r="534">
      <c r="A534" s="1" t="s">
        <v>519</v>
      </c>
      <c r="B534" s="1" t="s">
        <v>520</v>
      </c>
      <c r="C534" s="1" t="s">
        <v>1941</v>
      </c>
      <c r="D534" s="1" t="s">
        <v>1949</v>
      </c>
      <c r="E534" s="27">
        <v>45634.0</v>
      </c>
      <c r="F534" s="17" t="s">
        <v>1950</v>
      </c>
      <c r="G534" s="7" t="s">
        <v>1951</v>
      </c>
      <c r="H534" s="16"/>
      <c r="I534" s="4" t="s">
        <v>1305</v>
      </c>
      <c r="J534" s="4" t="b">
        <v>0</v>
      </c>
      <c r="K534" s="4" t="b">
        <v>0</v>
      </c>
      <c r="L534" s="1"/>
      <c r="M534" s="6"/>
      <c r="N534" s="1"/>
      <c r="O534" s="1"/>
      <c r="P534" s="1"/>
      <c r="Q534" s="1"/>
      <c r="R534" s="1"/>
      <c r="S534" s="1"/>
      <c r="T534" s="1"/>
      <c r="U534" s="1"/>
      <c r="V534" s="1"/>
      <c r="W534" s="1"/>
      <c r="X534" s="1"/>
      <c r="Y534" s="1"/>
      <c r="Z534" s="1"/>
      <c r="AA534" s="1"/>
      <c r="AB534" s="1"/>
    </row>
    <row r="535">
      <c r="A535" s="1" t="s">
        <v>519</v>
      </c>
      <c r="B535" s="1" t="s">
        <v>520</v>
      </c>
      <c r="C535" s="7" t="s">
        <v>1952</v>
      </c>
      <c r="D535" s="1" t="s">
        <v>1953</v>
      </c>
      <c r="E535" s="27">
        <v>45616.0</v>
      </c>
      <c r="F535" s="17" t="s">
        <v>1954</v>
      </c>
      <c r="G535" s="7" t="s">
        <v>1955</v>
      </c>
      <c r="H535" s="16"/>
      <c r="I535" s="4" t="s">
        <v>1305</v>
      </c>
      <c r="J535" s="4" t="b">
        <v>0</v>
      </c>
      <c r="K535" s="4" t="b">
        <v>0</v>
      </c>
      <c r="L535" s="1"/>
      <c r="M535" s="6"/>
      <c r="N535" s="1"/>
      <c r="O535" s="1"/>
      <c r="P535" s="1"/>
      <c r="Q535" s="1"/>
      <c r="R535" s="1"/>
      <c r="S535" s="1"/>
      <c r="T535" s="1"/>
      <c r="U535" s="1"/>
      <c r="V535" s="1"/>
      <c r="W535" s="1"/>
      <c r="X535" s="1"/>
      <c r="Y535" s="1"/>
      <c r="Z535" s="1"/>
      <c r="AA535" s="1"/>
      <c r="AB535" s="1"/>
    </row>
    <row r="536">
      <c r="A536" s="1" t="s">
        <v>519</v>
      </c>
      <c r="B536" s="1" t="s">
        <v>520</v>
      </c>
      <c r="C536" s="1" t="s">
        <v>1880</v>
      </c>
      <c r="D536" s="1" t="s">
        <v>1956</v>
      </c>
      <c r="E536" s="27">
        <v>45644.0</v>
      </c>
      <c r="F536" s="17" t="s">
        <v>1957</v>
      </c>
      <c r="G536" s="7" t="s">
        <v>1958</v>
      </c>
      <c r="H536" s="16"/>
      <c r="I536" s="4" t="s">
        <v>1305</v>
      </c>
      <c r="J536" s="4" t="b">
        <v>0</v>
      </c>
      <c r="K536" s="4" t="b">
        <v>0</v>
      </c>
      <c r="L536" s="1"/>
      <c r="M536" s="6"/>
      <c r="N536" s="1" t="s">
        <v>1959</v>
      </c>
      <c r="O536" s="1"/>
      <c r="P536" s="1"/>
      <c r="Q536" s="1"/>
      <c r="R536" s="1"/>
      <c r="S536" s="1"/>
      <c r="T536" s="1"/>
      <c r="U536" s="1"/>
      <c r="V536" s="1"/>
      <c r="W536" s="1"/>
      <c r="X536" s="1"/>
      <c r="Y536" s="1"/>
      <c r="Z536" s="1"/>
      <c r="AA536" s="1"/>
      <c r="AB536" s="1"/>
    </row>
    <row r="537">
      <c r="A537" s="1" t="s">
        <v>519</v>
      </c>
      <c r="B537" s="1" t="s">
        <v>569</v>
      </c>
      <c r="C537" s="7" t="s">
        <v>1960</v>
      </c>
      <c r="D537" s="1" t="s">
        <v>1961</v>
      </c>
      <c r="E537" s="27">
        <v>45585.0</v>
      </c>
      <c r="F537" s="1" t="s">
        <v>1962</v>
      </c>
      <c r="G537" s="7" t="s">
        <v>1963</v>
      </c>
      <c r="H537" s="16"/>
      <c r="I537" s="4" t="s">
        <v>1305</v>
      </c>
      <c r="J537" s="4" t="b">
        <v>0</v>
      </c>
      <c r="K537" s="4" t="b">
        <v>0</v>
      </c>
      <c r="L537" s="1"/>
      <c r="M537" s="6"/>
      <c r="N537" s="1"/>
      <c r="O537" s="1"/>
      <c r="P537" s="1"/>
      <c r="Q537" s="1"/>
      <c r="R537" s="1"/>
      <c r="S537" s="1"/>
      <c r="T537" s="1"/>
      <c r="U537" s="1"/>
      <c r="V537" s="1"/>
      <c r="W537" s="1"/>
      <c r="X537" s="1"/>
      <c r="Y537" s="1"/>
      <c r="Z537" s="1"/>
      <c r="AA537" s="1"/>
      <c r="AB537" s="1"/>
    </row>
    <row r="538">
      <c r="A538" s="1"/>
      <c r="B538" s="1"/>
      <c r="C538" s="1"/>
      <c r="D538" s="1"/>
      <c r="E538" s="27"/>
      <c r="F538" s="1"/>
      <c r="G538" s="5"/>
      <c r="H538" s="16"/>
      <c r="I538" s="4"/>
      <c r="J538" s="4" t="b">
        <v>0</v>
      </c>
      <c r="K538" s="4" t="b">
        <v>0</v>
      </c>
      <c r="L538" s="1"/>
      <c r="M538" s="6"/>
      <c r="N538" s="1"/>
      <c r="O538" s="1"/>
      <c r="P538" s="1"/>
      <c r="Q538" s="1"/>
      <c r="R538" s="1"/>
      <c r="S538" s="1"/>
      <c r="T538" s="1"/>
      <c r="U538" s="1"/>
      <c r="V538" s="1"/>
      <c r="W538" s="1"/>
      <c r="X538" s="1"/>
      <c r="Y538" s="1"/>
      <c r="Z538" s="1"/>
      <c r="AA538" s="1"/>
      <c r="AB538" s="1"/>
    </row>
    <row r="539">
      <c r="A539" s="1"/>
      <c r="B539" s="1"/>
      <c r="C539" s="1"/>
      <c r="D539" s="1"/>
      <c r="E539" s="27"/>
      <c r="F539" s="1"/>
      <c r="G539" s="5"/>
      <c r="H539" s="16"/>
      <c r="I539" s="4"/>
      <c r="J539" s="4" t="b">
        <v>0</v>
      </c>
      <c r="K539" s="4" t="b">
        <v>0</v>
      </c>
      <c r="L539" s="1"/>
      <c r="M539" s="6"/>
      <c r="N539" s="1"/>
      <c r="O539" s="1"/>
      <c r="P539" s="1"/>
      <c r="Q539" s="1"/>
      <c r="R539" s="1"/>
      <c r="S539" s="1"/>
      <c r="T539" s="1"/>
      <c r="U539" s="1"/>
      <c r="V539" s="1"/>
      <c r="W539" s="1"/>
      <c r="X539" s="1"/>
      <c r="Y539" s="1"/>
      <c r="Z539" s="1"/>
      <c r="AA539" s="1"/>
      <c r="AB539" s="1"/>
    </row>
    <row r="540">
      <c r="A540" s="1"/>
      <c r="B540" s="1"/>
      <c r="C540" s="1"/>
      <c r="D540" s="1"/>
      <c r="E540" s="27"/>
      <c r="F540" s="1"/>
      <c r="G540" s="5"/>
      <c r="H540" s="16"/>
      <c r="I540" s="4"/>
      <c r="J540" s="4" t="b">
        <v>0</v>
      </c>
      <c r="K540" s="4" t="b">
        <v>0</v>
      </c>
      <c r="L540" s="1"/>
      <c r="M540" s="6"/>
      <c r="N540" s="1"/>
      <c r="O540" s="1"/>
      <c r="P540" s="1"/>
      <c r="Q540" s="1"/>
      <c r="R540" s="1"/>
      <c r="S540" s="1"/>
      <c r="T540" s="1"/>
      <c r="U540" s="1"/>
      <c r="V540" s="1"/>
      <c r="W540" s="1"/>
      <c r="X540" s="1"/>
      <c r="Y540" s="1"/>
      <c r="Z540" s="1"/>
      <c r="AA540" s="1"/>
      <c r="AB540" s="1"/>
    </row>
    <row r="541">
      <c r="A541" s="1"/>
      <c r="B541" s="1"/>
      <c r="C541" s="1"/>
      <c r="D541" s="1"/>
      <c r="E541" s="27"/>
      <c r="F541" s="1"/>
      <c r="G541" s="5"/>
      <c r="H541" s="16"/>
      <c r="I541" s="4"/>
      <c r="J541" s="4" t="b">
        <v>0</v>
      </c>
      <c r="K541" s="4" t="b">
        <v>0</v>
      </c>
      <c r="L541" s="1"/>
      <c r="M541" s="6"/>
      <c r="N541" s="1"/>
      <c r="O541" s="1"/>
      <c r="P541" s="1"/>
      <c r="Q541" s="1"/>
      <c r="R541" s="1"/>
      <c r="S541" s="1"/>
      <c r="T541" s="1"/>
      <c r="U541" s="1"/>
      <c r="V541" s="1"/>
      <c r="W541" s="1"/>
      <c r="X541" s="1"/>
      <c r="Y541" s="1"/>
      <c r="Z541" s="1"/>
      <c r="AA541" s="1"/>
      <c r="AB541" s="1"/>
    </row>
    <row r="542">
      <c r="A542" s="1"/>
      <c r="B542" s="1"/>
      <c r="C542" s="1"/>
      <c r="D542" s="1"/>
      <c r="E542" s="27"/>
      <c r="F542" s="1"/>
      <c r="G542" s="5"/>
      <c r="H542" s="16"/>
      <c r="I542" s="4"/>
      <c r="J542" s="4" t="b">
        <v>0</v>
      </c>
      <c r="K542" s="4" t="b">
        <v>0</v>
      </c>
      <c r="L542" s="1"/>
      <c r="M542" s="6"/>
      <c r="N542" s="1"/>
      <c r="O542" s="1"/>
      <c r="P542" s="1"/>
      <c r="Q542" s="1"/>
      <c r="R542" s="1"/>
      <c r="S542" s="1"/>
      <c r="T542" s="1"/>
      <c r="U542" s="1"/>
      <c r="V542" s="1"/>
      <c r="W542" s="1"/>
      <c r="X542" s="1"/>
      <c r="Y542" s="1"/>
      <c r="Z542" s="1"/>
      <c r="AA542" s="1"/>
      <c r="AB542" s="1"/>
    </row>
    <row r="543">
      <c r="A543" s="1"/>
      <c r="B543" s="1"/>
      <c r="C543" s="1"/>
      <c r="D543" s="1"/>
      <c r="E543" s="27"/>
      <c r="F543" s="1"/>
      <c r="G543" s="5"/>
      <c r="H543" s="16"/>
      <c r="I543" s="4"/>
      <c r="J543" s="4" t="b">
        <v>0</v>
      </c>
      <c r="K543" s="4" t="b">
        <v>0</v>
      </c>
      <c r="L543" s="1"/>
      <c r="M543" s="6"/>
      <c r="N543" s="1"/>
      <c r="O543" s="1"/>
      <c r="P543" s="1"/>
      <c r="Q543" s="1"/>
      <c r="R543" s="1"/>
      <c r="S543" s="1"/>
      <c r="T543" s="1"/>
      <c r="U543" s="1"/>
      <c r="V543" s="1"/>
      <c r="W543" s="1"/>
      <c r="X543" s="1"/>
      <c r="Y543" s="1"/>
      <c r="Z543" s="1"/>
      <c r="AA543" s="1"/>
      <c r="AB543" s="1"/>
    </row>
    <row r="544">
      <c r="A544" s="1"/>
      <c r="B544" s="1"/>
      <c r="C544" s="1"/>
      <c r="D544" s="1"/>
      <c r="E544" s="27"/>
      <c r="F544" s="1"/>
      <c r="G544" s="5"/>
      <c r="H544" s="16"/>
      <c r="I544" s="4"/>
      <c r="J544" s="4" t="b">
        <v>0</v>
      </c>
      <c r="K544" s="4" t="b">
        <v>0</v>
      </c>
      <c r="L544" s="1"/>
      <c r="M544" s="6"/>
      <c r="N544" s="1"/>
      <c r="O544" s="1"/>
      <c r="P544" s="1"/>
      <c r="Q544" s="1"/>
      <c r="R544" s="1"/>
      <c r="S544" s="1"/>
      <c r="T544" s="1"/>
      <c r="U544" s="1"/>
      <c r="V544" s="1"/>
      <c r="W544" s="1"/>
      <c r="X544" s="1"/>
      <c r="Y544" s="1"/>
      <c r="Z544" s="1"/>
      <c r="AA544" s="1"/>
      <c r="AB544" s="1"/>
    </row>
    <row r="545">
      <c r="A545" s="1"/>
      <c r="B545" s="1"/>
      <c r="C545" s="1"/>
      <c r="D545" s="1"/>
      <c r="E545" s="27"/>
      <c r="F545" s="1"/>
      <c r="G545" s="5"/>
      <c r="H545" s="16"/>
      <c r="I545" s="4"/>
      <c r="J545" s="4" t="b">
        <v>0</v>
      </c>
      <c r="K545" s="4" t="b">
        <v>0</v>
      </c>
      <c r="L545" s="1"/>
      <c r="M545" s="6"/>
      <c r="N545" s="1"/>
      <c r="O545" s="1"/>
      <c r="P545" s="1"/>
      <c r="Q545" s="1"/>
      <c r="R545" s="1"/>
      <c r="S545" s="1"/>
      <c r="T545" s="1"/>
      <c r="U545" s="1"/>
      <c r="V545" s="1"/>
      <c r="W545" s="1"/>
      <c r="X545" s="1"/>
      <c r="Y545" s="1"/>
      <c r="Z545" s="1"/>
      <c r="AA545" s="1"/>
      <c r="AB545" s="1"/>
    </row>
    <row r="546">
      <c r="A546" s="1"/>
      <c r="B546" s="1"/>
      <c r="C546" s="1"/>
      <c r="D546" s="1"/>
      <c r="E546" s="27"/>
      <c r="F546" s="1"/>
      <c r="G546" s="5"/>
      <c r="H546" s="16"/>
      <c r="I546" s="4"/>
      <c r="J546" s="4" t="b">
        <v>0</v>
      </c>
      <c r="K546" s="4" t="b">
        <v>0</v>
      </c>
      <c r="L546" s="1"/>
      <c r="M546" s="6"/>
      <c r="N546" s="1"/>
      <c r="O546" s="1"/>
      <c r="P546" s="1"/>
      <c r="Q546" s="1"/>
      <c r="R546" s="1"/>
      <c r="S546" s="1"/>
      <c r="T546" s="1"/>
      <c r="U546" s="1"/>
      <c r="V546" s="1"/>
      <c r="W546" s="1"/>
      <c r="X546" s="1"/>
      <c r="Y546" s="1"/>
      <c r="Z546" s="1"/>
      <c r="AA546" s="1"/>
      <c r="AB546" s="1"/>
    </row>
    <row r="547">
      <c r="A547" s="1"/>
      <c r="B547" s="1"/>
      <c r="C547" s="1"/>
      <c r="D547" s="1"/>
      <c r="E547" s="27"/>
      <c r="F547" s="1"/>
      <c r="G547" s="5"/>
      <c r="H547" s="16"/>
      <c r="I547" s="4"/>
      <c r="J547" s="4" t="b">
        <v>0</v>
      </c>
      <c r="K547" s="4" t="b">
        <v>0</v>
      </c>
      <c r="L547" s="1"/>
      <c r="M547" s="6"/>
      <c r="N547" s="1"/>
      <c r="O547" s="1"/>
      <c r="P547" s="1"/>
      <c r="Q547" s="1"/>
      <c r="R547" s="1"/>
      <c r="S547" s="1"/>
      <c r="T547" s="1"/>
      <c r="U547" s="1"/>
      <c r="V547" s="1"/>
      <c r="W547" s="1"/>
      <c r="X547" s="1"/>
      <c r="Y547" s="1"/>
      <c r="Z547" s="1"/>
      <c r="AA547" s="1"/>
      <c r="AB547" s="1"/>
    </row>
    <row r="548">
      <c r="A548" s="1"/>
      <c r="B548" s="1"/>
      <c r="C548" s="1"/>
      <c r="D548" s="1"/>
      <c r="E548" s="27"/>
      <c r="F548" s="1"/>
      <c r="G548" s="5"/>
      <c r="H548" s="16"/>
      <c r="I548" s="4"/>
      <c r="J548" s="4" t="b">
        <v>0</v>
      </c>
      <c r="K548" s="4" t="b">
        <v>0</v>
      </c>
      <c r="L548" s="1"/>
      <c r="M548" s="6"/>
      <c r="N548" s="1"/>
      <c r="O548" s="1"/>
      <c r="P548" s="1"/>
      <c r="Q548" s="1"/>
      <c r="R548" s="1"/>
      <c r="S548" s="1"/>
      <c r="T548" s="1"/>
      <c r="U548" s="1"/>
      <c r="V548" s="1"/>
      <c r="W548" s="1"/>
      <c r="X548" s="1"/>
      <c r="Y548" s="1"/>
      <c r="Z548" s="1"/>
      <c r="AA548" s="1"/>
      <c r="AB548" s="1"/>
    </row>
    <row r="549">
      <c r="A549" s="1"/>
      <c r="B549" s="1"/>
      <c r="C549" s="1"/>
      <c r="D549" s="1"/>
      <c r="E549" s="27"/>
      <c r="F549" s="1"/>
      <c r="G549" s="5"/>
      <c r="H549" s="16"/>
      <c r="I549" s="4"/>
      <c r="J549" s="4" t="b">
        <v>0</v>
      </c>
      <c r="K549" s="4" t="b">
        <v>0</v>
      </c>
      <c r="L549" s="1"/>
      <c r="M549" s="6"/>
      <c r="N549" s="1"/>
      <c r="O549" s="1"/>
      <c r="P549" s="1"/>
      <c r="Q549" s="1"/>
      <c r="R549" s="1"/>
      <c r="S549" s="1"/>
      <c r="T549" s="1"/>
      <c r="U549" s="1"/>
      <c r="V549" s="1"/>
      <c r="W549" s="1"/>
      <c r="X549" s="1"/>
      <c r="Y549" s="1"/>
      <c r="Z549" s="1"/>
      <c r="AA549" s="1"/>
      <c r="AB549" s="1"/>
    </row>
    <row r="550">
      <c r="A550" s="1"/>
      <c r="B550" s="1"/>
      <c r="C550" s="1"/>
      <c r="D550" s="1"/>
      <c r="E550" s="27"/>
      <c r="F550" s="1"/>
      <c r="G550" s="5"/>
      <c r="H550" s="16"/>
      <c r="I550" s="4"/>
      <c r="J550" s="4" t="b">
        <v>0</v>
      </c>
      <c r="K550" s="4" t="b">
        <v>0</v>
      </c>
      <c r="L550" s="1"/>
      <c r="M550" s="6"/>
      <c r="N550" s="1"/>
      <c r="O550" s="1"/>
      <c r="P550" s="1"/>
      <c r="Q550" s="1"/>
      <c r="R550" s="1"/>
      <c r="S550" s="1"/>
      <c r="T550" s="1"/>
      <c r="U550" s="1"/>
      <c r="V550" s="1"/>
      <c r="W550" s="1"/>
      <c r="X550" s="1"/>
      <c r="Y550" s="1"/>
      <c r="Z550" s="1"/>
      <c r="AA550" s="1"/>
      <c r="AB550" s="1"/>
    </row>
    <row r="551">
      <c r="A551" s="1"/>
      <c r="B551" s="1"/>
      <c r="C551" s="1"/>
      <c r="D551" s="1"/>
      <c r="E551" s="27"/>
      <c r="F551" s="1"/>
      <c r="G551" s="5"/>
      <c r="H551" s="16"/>
      <c r="I551" s="4"/>
      <c r="J551" s="4" t="b">
        <v>0</v>
      </c>
      <c r="K551" s="4" t="b">
        <v>0</v>
      </c>
      <c r="L551" s="1"/>
      <c r="M551" s="6"/>
      <c r="N551" s="1"/>
      <c r="O551" s="1"/>
      <c r="P551" s="1"/>
      <c r="Q551" s="1"/>
      <c r="R551" s="1"/>
      <c r="S551" s="1"/>
      <c r="T551" s="1"/>
      <c r="U551" s="1"/>
      <c r="V551" s="1"/>
      <c r="W551" s="1"/>
      <c r="X551" s="1"/>
      <c r="Y551" s="1"/>
      <c r="Z551" s="1"/>
      <c r="AA551" s="1"/>
      <c r="AB551" s="1"/>
    </row>
    <row r="552">
      <c r="A552" s="1"/>
      <c r="B552" s="1"/>
      <c r="C552" s="1"/>
      <c r="D552" s="1"/>
      <c r="E552" s="27"/>
      <c r="F552" s="1"/>
      <c r="G552" s="5"/>
      <c r="H552" s="16"/>
      <c r="I552" s="4"/>
      <c r="J552" s="4" t="b">
        <v>0</v>
      </c>
      <c r="K552" s="4" t="b">
        <v>0</v>
      </c>
      <c r="L552" s="1"/>
      <c r="M552" s="6"/>
      <c r="N552" s="1"/>
      <c r="O552" s="1"/>
      <c r="P552" s="1"/>
      <c r="Q552" s="1"/>
      <c r="R552" s="1"/>
      <c r="S552" s="1"/>
      <c r="T552" s="1"/>
      <c r="U552" s="1"/>
      <c r="V552" s="1"/>
      <c r="W552" s="1"/>
      <c r="X552" s="1"/>
      <c r="Y552" s="1"/>
      <c r="Z552" s="1"/>
      <c r="AA552" s="1"/>
      <c r="AB552" s="1"/>
    </row>
    <row r="553">
      <c r="A553" s="1"/>
      <c r="B553" s="1"/>
      <c r="C553" s="1"/>
      <c r="D553" s="1"/>
      <c r="E553" s="27"/>
      <c r="F553" s="1"/>
      <c r="G553" s="5"/>
      <c r="H553" s="16"/>
      <c r="I553" s="4"/>
      <c r="J553" s="4" t="b">
        <v>0</v>
      </c>
      <c r="K553" s="4" t="b">
        <v>0</v>
      </c>
      <c r="L553" s="1"/>
      <c r="M553" s="6"/>
      <c r="N553" s="1"/>
      <c r="O553" s="1"/>
      <c r="P553" s="1"/>
      <c r="Q553" s="1"/>
      <c r="R553" s="1"/>
      <c r="S553" s="1"/>
      <c r="T553" s="1"/>
      <c r="U553" s="1"/>
      <c r="V553" s="1"/>
      <c r="W553" s="1"/>
      <c r="X553" s="1"/>
      <c r="Y553" s="1"/>
      <c r="Z553" s="1"/>
      <c r="AA553" s="1"/>
      <c r="AB553" s="1"/>
    </row>
    <row r="554">
      <c r="A554" s="1"/>
      <c r="B554" s="1"/>
      <c r="C554" s="1"/>
      <c r="D554" s="1"/>
      <c r="E554" s="27"/>
      <c r="F554" s="1"/>
      <c r="G554" s="5"/>
      <c r="H554" s="16"/>
      <c r="I554" s="4"/>
      <c r="J554" s="4" t="b">
        <v>0</v>
      </c>
      <c r="K554" s="4" t="b">
        <v>0</v>
      </c>
      <c r="L554" s="1"/>
      <c r="M554" s="6"/>
      <c r="N554" s="1"/>
      <c r="O554" s="1"/>
      <c r="P554" s="1"/>
      <c r="Q554" s="1"/>
      <c r="R554" s="1"/>
      <c r="S554" s="1"/>
      <c r="T554" s="1"/>
      <c r="U554" s="1"/>
      <c r="V554" s="1"/>
      <c r="W554" s="1"/>
      <c r="X554" s="1"/>
      <c r="Y554" s="1"/>
      <c r="Z554" s="1"/>
      <c r="AA554" s="1"/>
      <c r="AB554" s="1"/>
    </row>
    <row r="555">
      <c r="A555" s="1"/>
      <c r="B555" s="1"/>
      <c r="C555" s="1"/>
      <c r="D555" s="1"/>
      <c r="E555" s="27"/>
      <c r="F555" s="1"/>
      <c r="G555" s="5"/>
      <c r="H555" s="16"/>
      <c r="I555" s="4"/>
      <c r="J555" s="4" t="b">
        <v>0</v>
      </c>
      <c r="K555" s="4" t="b">
        <v>0</v>
      </c>
      <c r="L555" s="1"/>
      <c r="M555" s="6"/>
      <c r="N555" s="1"/>
      <c r="O555" s="1"/>
      <c r="P555" s="1"/>
      <c r="Q555" s="1"/>
      <c r="R555" s="1"/>
      <c r="S555" s="1"/>
      <c r="T555" s="1"/>
      <c r="U555" s="1"/>
      <c r="V555" s="1"/>
      <c r="W555" s="1"/>
      <c r="X555" s="1"/>
      <c r="Y555" s="1"/>
      <c r="Z555" s="1"/>
      <c r="AA555" s="1"/>
      <c r="AB555" s="1"/>
    </row>
    <row r="556">
      <c r="A556" s="1"/>
      <c r="B556" s="1"/>
      <c r="C556" s="1"/>
      <c r="D556" s="1"/>
      <c r="E556" s="27"/>
      <c r="F556" s="1"/>
      <c r="G556" s="5"/>
      <c r="H556" s="16"/>
      <c r="I556" s="4"/>
      <c r="J556" s="4" t="b">
        <v>0</v>
      </c>
      <c r="K556" s="4" t="b">
        <v>0</v>
      </c>
      <c r="L556" s="1"/>
      <c r="M556" s="6"/>
      <c r="N556" s="1"/>
      <c r="O556" s="1"/>
      <c r="P556" s="1"/>
      <c r="Q556" s="1"/>
      <c r="R556" s="1"/>
      <c r="S556" s="1"/>
      <c r="T556" s="1"/>
      <c r="U556" s="1"/>
      <c r="V556" s="1"/>
      <c r="W556" s="1"/>
      <c r="X556" s="1"/>
      <c r="Y556" s="1"/>
      <c r="Z556" s="1"/>
      <c r="AA556" s="1"/>
      <c r="AB556" s="1"/>
    </row>
    <row r="557">
      <c r="A557" s="1"/>
      <c r="B557" s="1"/>
      <c r="C557" s="1"/>
      <c r="D557" s="1"/>
      <c r="E557" s="27"/>
      <c r="F557" s="1"/>
      <c r="G557" s="5"/>
      <c r="H557" s="16"/>
      <c r="I557" s="4"/>
      <c r="J557" s="4" t="b">
        <v>0</v>
      </c>
      <c r="K557" s="4" t="b">
        <v>0</v>
      </c>
      <c r="L557" s="1"/>
      <c r="M557" s="6"/>
      <c r="N557" s="1"/>
      <c r="O557" s="1"/>
      <c r="P557" s="1"/>
      <c r="Q557" s="1"/>
      <c r="R557" s="1"/>
      <c r="S557" s="1"/>
      <c r="T557" s="1"/>
      <c r="U557" s="1"/>
      <c r="V557" s="1"/>
      <c r="W557" s="1"/>
      <c r="X557" s="1"/>
      <c r="Y557" s="1"/>
      <c r="Z557" s="1"/>
      <c r="AA557" s="1"/>
      <c r="AB557" s="1"/>
    </row>
    <row r="558">
      <c r="A558" s="1"/>
      <c r="B558" s="1"/>
      <c r="C558" s="1"/>
      <c r="D558" s="1"/>
      <c r="E558" s="27"/>
      <c r="F558" s="1"/>
      <c r="G558" s="5"/>
      <c r="H558" s="16"/>
      <c r="I558" s="4"/>
      <c r="J558" s="4" t="b">
        <v>0</v>
      </c>
      <c r="K558" s="4" t="b">
        <v>0</v>
      </c>
      <c r="L558" s="1"/>
      <c r="M558" s="6"/>
      <c r="N558" s="1"/>
      <c r="O558" s="1"/>
      <c r="P558" s="1"/>
      <c r="Q558" s="1"/>
      <c r="R558" s="1"/>
      <c r="S558" s="1"/>
      <c r="T558" s="1"/>
      <c r="U558" s="1"/>
      <c r="V558" s="1"/>
      <c r="W558" s="1"/>
      <c r="X558" s="1"/>
      <c r="Y558" s="1"/>
      <c r="Z558" s="1"/>
      <c r="AA558" s="1"/>
      <c r="AB558" s="1"/>
    </row>
    <row r="559">
      <c r="A559" s="1"/>
      <c r="B559" s="1"/>
      <c r="C559" s="1"/>
      <c r="D559" s="1"/>
      <c r="E559" s="27"/>
      <c r="F559" s="1"/>
      <c r="G559" s="5"/>
      <c r="H559" s="16"/>
      <c r="I559" s="4"/>
      <c r="J559" s="4" t="b">
        <v>0</v>
      </c>
      <c r="K559" s="4" t="b">
        <v>0</v>
      </c>
      <c r="L559" s="1"/>
      <c r="M559" s="6"/>
      <c r="N559" s="1"/>
      <c r="O559" s="1"/>
      <c r="P559" s="1"/>
      <c r="Q559" s="1"/>
      <c r="R559" s="1"/>
      <c r="S559" s="1"/>
      <c r="T559" s="1"/>
      <c r="U559" s="1"/>
      <c r="V559" s="1"/>
      <c r="W559" s="1"/>
      <c r="X559" s="1"/>
      <c r="Y559" s="1"/>
      <c r="Z559" s="1"/>
      <c r="AA559" s="1"/>
      <c r="AB559" s="1"/>
    </row>
    <row r="560">
      <c r="A560" s="1"/>
      <c r="B560" s="1"/>
      <c r="C560" s="1"/>
      <c r="D560" s="1"/>
      <c r="E560" s="27"/>
      <c r="F560" s="1"/>
      <c r="G560" s="5"/>
      <c r="H560" s="16"/>
      <c r="I560" s="4"/>
      <c r="J560" s="4" t="b">
        <v>0</v>
      </c>
      <c r="K560" s="4" t="b">
        <v>0</v>
      </c>
      <c r="L560" s="1"/>
      <c r="M560" s="6"/>
      <c r="N560" s="1"/>
      <c r="O560" s="1"/>
      <c r="P560" s="1"/>
      <c r="Q560" s="1"/>
      <c r="R560" s="1"/>
      <c r="S560" s="1"/>
      <c r="T560" s="1"/>
      <c r="U560" s="1"/>
      <c r="V560" s="1"/>
      <c r="W560" s="1"/>
      <c r="X560" s="1"/>
      <c r="Y560" s="1"/>
      <c r="Z560" s="1"/>
      <c r="AA560" s="1"/>
      <c r="AB560" s="1"/>
    </row>
    <row r="561">
      <c r="A561" s="1"/>
      <c r="B561" s="1"/>
      <c r="C561" s="1"/>
      <c r="D561" s="1"/>
      <c r="E561" s="27"/>
      <c r="F561" s="1"/>
      <c r="G561" s="5"/>
      <c r="H561" s="16"/>
      <c r="I561" s="4"/>
      <c r="J561" s="4" t="b">
        <v>0</v>
      </c>
      <c r="K561" s="4" t="b">
        <v>0</v>
      </c>
      <c r="L561" s="1"/>
      <c r="M561" s="6"/>
      <c r="N561" s="1"/>
      <c r="O561" s="1"/>
      <c r="P561" s="1"/>
      <c r="Q561" s="1"/>
      <c r="R561" s="1"/>
      <c r="S561" s="1"/>
      <c r="T561" s="1"/>
      <c r="U561" s="1"/>
      <c r="V561" s="1"/>
      <c r="W561" s="1"/>
      <c r="X561" s="1"/>
      <c r="Y561" s="1"/>
      <c r="Z561" s="1"/>
      <c r="AA561" s="1"/>
      <c r="AB561" s="1"/>
    </row>
    <row r="562">
      <c r="A562" s="1"/>
      <c r="B562" s="1"/>
      <c r="C562" s="1"/>
      <c r="D562" s="1"/>
      <c r="E562" s="27"/>
      <c r="F562" s="1"/>
      <c r="G562" s="5"/>
      <c r="H562" s="16"/>
      <c r="I562" s="4"/>
      <c r="J562" s="4" t="b">
        <v>0</v>
      </c>
      <c r="K562" s="4" t="b">
        <v>0</v>
      </c>
      <c r="L562" s="1"/>
      <c r="M562" s="6"/>
      <c r="N562" s="1"/>
      <c r="O562" s="1"/>
      <c r="P562" s="1"/>
      <c r="Q562" s="1"/>
      <c r="R562" s="1"/>
      <c r="S562" s="1"/>
      <c r="T562" s="1"/>
      <c r="U562" s="1"/>
      <c r="V562" s="1"/>
      <c r="W562" s="1"/>
      <c r="X562" s="1"/>
      <c r="Y562" s="1"/>
      <c r="Z562" s="1"/>
      <c r="AA562" s="1"/>
      <c r="AB562" s="1"/>
    </row>
    <row r="563">
      <c r="A563" s="1"/>
      <c r="B563" s="1"/>
      <c r="C563" s="1"/>
      <c r="D563" s="1"/>
      <c r="E563" s="27"/>
      <c r="F563" s="1"/>
      <c r="G563" s="5"/>
      <c r="H563" s="16"/>
      <c r="I563" s="4"/>
      <c r="J563" s="4" t="b">
        <v>0</v>
      </c>
      <c r="K563" s="4" t="b">
        <v>0</v>
      </c>
      <c r="L563" s="1"/>
      <c r="M563" s="6"/>
      <c r="N563" s="1"/>
      <c r="O563" s="1"/>
      <c r="P563" s="1"/>
      <c r="Q563" s="1"/>
      <c r="R563" s="1"/>
      <c r="S563" s="1"/>
      <c r="T563" s="1"/>
      <c r="U563" s="1"/>
      <c r="V563" s="1"/>
      <c r="W563" s="1"/>
      <c r="X563" s="1"/>
      <c r="Y563" s="1"/>
      <c r="Z563" s="1"/>
      <c r="AA563" s="1"/>
      <c r="AB563" s="1"/>
    </row>
    <row r="564">
      <c r="A564" s="1"/>
      <c r="B564" s="1"/>
      <c r="C564" s="1"/>
      <c r="D564" s="1"/>
      <c r="E564" s="27"/>
      <c r="F564" s="1"/>
      <c r="G564" s="5"/>
      <c r="H564" s="16"/>
      <c r="I564" s="4"/>
      <c r="J564" s="4" t="b">
        <v>0</v>
      </c>
      <c r="K564" s="4" t="b">
        <v>0</v>
      </c>
      <c r="L564" s="1"/>
      <c r="M564" s="6"/>
      <c r="N564" s="1"/>
      <c r="O564" s="1"/>
      <c r="P564" s="1"/>
      <c r="Q564" s="1"/>
      <c r="R564" s="1"/>
      <c r="S564" s="1"/>
      <c r="T564" s="1"/>
      <c r="U564" s="1"/>
      <c r="V564" s="1"/>
      <c r="W564" s="1"/>
      <c r="X564" s="1"/>
      <c r="Y564" s="1"/>
      <c r="Z564" s="1"/>
      <c r="AA564" s="1"/>
      <c r="AB564" s="1"/>
    </row>
    <row r="565">
      <c r="A565" s="1"/>
      <c r="B565" s="1"/>
      <c r="C565" s="1"/>
      <c r="D565" s="1"/>
      <c r="E565" s="27"/>
      <c r="F565" s="1"/>
      <c r="G565" s="5"/>
      <c r="H565" s="16"/>
      <c r="I565" s="4"/>
      <c r="J565" s="4" t="b">
        <v>0</v>
      </c>
      <c r="K565" s="4" t="b">
        <v>0</v>
      </c>
      <c r="L565" s="1"/>
      <c r="M565" s="6"/>
      <c r="N565" s="1"/>
      <c r="O565" s="1"/>
      <c r="P565" s="1"/>
      <c r="Q565" s="1"/>
      <c r="R565" s="1"/>
      <c r="S565" s="1"/>
      <c r="T565" s="1"/>
      <c r="U565" s="1"/>
      <c r="V565" s="1"/>
      <c r="W565" s="1"/>
      <c r="X565" s="1"/>
      <c r="Y565" s="1"/>
      <c r="Z565" s="1"/>
      <c r="AA565" s="1"/>
      <c r="AB565" s="1"/>
    </row>
    <row r="566">
      <c r="A566" s="1"/>
      <c r="B566" s="1"/>
      <c r="C566" s="1"/>
      <c r="D566" s="1"/>
      <c r="E566" s="27"/>
      <c r="F566" s="1"/>
      <c r="G566" s="5"/>
      <c r="H566" s="16"/>
      <c r="I566" s="4"/>
      <c r="J566" s="4" t="b">
        <v>0</v>
      </c>
      <c r="K566" s="4" t="b">
        <v>0</v>
      </c>
      <c r="L566" s="1"/>
      <c r="M566" s="6"/>
      <c r="N566" s="1"/>
      <c r="O566" s="1"/>
      <c r="P566" s="1"/>
      <c r="Q566" s="1"/>
      <c r="R566" s="1"/>
      <c r="S566" s="1"/>
      <c r="T566" s="1"/>
      <c r="U566" s="1"/>
      <c r="V566" s="1"/>
      <c r="W566" s="1"/>
      <c r="X566" s="1"/>
      <c r="Y566" s="1"/>
      <c r="Z566" s="1"/>
      <c r="AA566" s="1"/>
      <c r="AB566" s="1"/>
    </row>
    <row r="567">
      <c r="A567" s="1"/>
      <c r="B567" s="1"/>
      <c r="C567" s="1"/>
      <c r="D567" s="1"/>
      <c r="E567" s="27"/>
      <c r="F567" s="1"/>
      <c r="G567" s="5"/>
      <c r="H567" s="16"/>
      <c r="I567" s="4"/>
      <c r="J567" s="4" t="b">
        <v>0</v>
      </c>
      <c r="K567" s="4" t="b">
        <v>0</v>
      </c>
      <c r="L567" s="1"/>
      <c r="M567" s="6"/>
      <c r="N567" s="1"/>
      <c r="O567" s="1"/>
      <c r="P567" s="1"/>
      <c r="Q567" s="1"/>
      <c r="R567" s="1"/>
      <c r="S567" s="1"/>
      <c r="T567" s="1"/>
      <c r="U567" s="1"/>
      <c r="V567" s="1"/>
      <c r="W567" s="1"/>
      <c r="X567" s="1"/>
      <c r="Y567" s="1"/>
      <c r="Z567" s="1"/>
      <c r="AA567" s="1"/>
      <c r="AB567" s="1"/>
    </row>
    <row r="568">
      <c r="A568" s="1"/>
      <c r="B568" s="1"/>
      <c r="C568" s="1"/>
      <c r="D568" s="1"/>
      <c r="E568" s="27"/>
      <c r="F568" s="1"/>
      <c r="G568" s="5"/>
      <c r="H568" s="16"/>
      <c r="I568" s="4"/>
      <c r="J568" s="4" t="b">
        <v>0</v>
      </c>
      <c r="K568" s="4" t="b">
        <v>0</v>
      </c>
      <c r="L568" s="1"/>
      <c r="M568" s="6"/>
      <c r="N568" s="1"/>
      <c r="O568" s="1"/>
      <c r="P568" s="1"/>
      <c r="Q568" s="1"/>
      <c r="R568" s="1"/>
      <c r="S568" s="1"/>
      <c r="T568" s="1"/>
      <c r="U568" s="1"/>
      <c r="V568" s="1"/>
      <c r="W568" s="1"/>
      <c r="X568" s="1"/>
      <c r="Y568" s="1"/>
      <c r="Z568" s="1"/>
      <c r="AA568" s="1"/>
      <c r="AB568" s="1"/>
    </row>
    <row r="569">
      <c r="A569" s="1"/>
      <c r="B569" s="1"/>
      <c r="C569" s="1"/>
      <c r="D569" s="1"/>
      <c r="E569" s="27"/>
      <c r="F569" s="1"/>
      <c r="G569" s="5"/>
      <c r="H569" s="16"/>
      <c r="I569" s="4"/>
      <c r="J569" s="4" t="b">
        <v>0</v>
      </c>
      <c r="K569" s="4" t="b">
        <v>0</v>
      </c>
      <c r="L569" s="1"/>
      <c r="M569" s="6"/>
      <c r="N569" s="1"/>
      <c r="O569" s="1"/>
      <c r="P569" s="1"/>
      <c r="Q569" s="1"/>
      <c r="R569" s="1"/>
      <c r="S569" s="1"/>
      <c r="T569" s="1"/>
      <c r="U569" s="1"/>
      <c r="V569" s="1"/>
      <c r="W569" s="1"/>
      <c r="X569" s="1"/>
      <c r="Y569" s="1"/>
      <c r="Z569" s="1"/>
      <c r="AA569" s="1"/>
      <c r="AB569" s="1"/>
    </row>
    <row r="570">
      <c r="A570" s="1"/>
      <c r="B570" s="1"/>
      <c r="C570" s="1"/>
      <c r="D570" s="1"/>
      <c r="E570" s="27"/>
      <c r="F570" s="1"/>
      <c r="G570" s="5"/>
      <c r="H570" s="16"/>
      <c r="I570" s="4"/>
      <c r="J570" s="4" t="b">
        <v>0</v>
      </c>
      <c r="K570" s="4" t="b">
        <v>0</v>
      </c>
      <c r="L570" s="1"/>
      <c r="M570" s="6"/>
      <c r="N570" s="1"/>
      <c r="O570" s="1"/>
      <c r="P570" s="1"/>
      <c r="Q570" s="1"/>
      <c r="R570" s="1"/>
      <c r="S570" s="1"/>
      <c r="T570" s="1"/>
      <c r="U570" s="1"/>
      <c r="V570" s="1"/>
      <c r="W570" s="1"/>
      <c r="X570" s="1"/>
      <c r="Y570" s="1"/>
      <c r="Z570" s="1"/>
      <c r="AA570" s="1"/>
      <c r="AB570" s="1"/>
    </row>
    <row r="571">
      <c r="A571" s="1"/>
      <c r="B571" s="1"/>
      <c r="C571" s="1"/>
      <c r="D571" s="1"/>
      <c r="E571" s="27"/>
      <c r="F571" s="1"/>
      <c r="G571" s="5"/>
      <c r="H571" s="16"/>
      <c r="I571" s="4"/>
      <c r="J571" s="4" t="b">
        <v>0</v>
      </c>
      <c r="K571" s="4" t="b">
        <v>0</v>
      </c>
      <c r="L571" s="1"/>
      <c r="M571" s="6"/>
      <c r="N571" s="1"/>
      <c r="O571" s="1"/>
      <c r="P571" s="1"/>
      <c r="Q571" s="1"/>
      <c r="R571" s="1"/>
      <c r="S571" s="1"/>
      <c r="T571" s="1"/>
      <c r="U571" s="1"/>
      <c r="V571" s="1"/>
      <c r="W571" s="1"/>
      <c r="X571" s="1"/>
      <c r="Y571" s="1"/>
      <c r="Z571" s="1"/>
      <c r="AA571" s="1"/>
      <c r="AB571" s="1"/>
    </row>
    <row r="572">
      <c r="A572" s="1"/>
      <c r="B572" s="1"/>
      <c r="C572" s="1"/>
      <c r="D572" s="1"/>
      <c r="E572" s="27"/>
      <c r="F572" s="1"/>
      <c r="G572" s="5"/>
      <c r="H572" s="16"/>
      <c r="I572" s="4"/>
      <c r="J572" s="4" t="b">
        <v>0</v>
      </c>
      <c r="K572" s="4" t="b">
        <v>0</v>
      </c>
      <c r="L572" s="1"/>
      <c r="M572" s="6"/>
      <c r="N572" s="1"/>
      <c r="O572" s="1"/>
      <c r="P572" s="1"/>
      <c r="Q572" s="1"/>
      <c r="R572" s="1"/>
      <c r="S572" s="1"/>
      <c r="T572" s="1"/>
      <c r="U572" s="1"/>
      <c r="V572" s="1"/>
      <c r="W572" s="1"/>
      <c r="X572" s="1"/>
      <c r="Y572" s="1"/>
      <c r="Z572" s="1"/>
      <c r="AA572" s="1"/>
      <c r="AB572" s="1"/>
    </row>
    <row r="573">
      <c r="A573" s="1"/>
      <c r="B573" s="1"/>
      <c r="C573" s="1"/>
      <c r="D573" s="1"/>
      <c r="E573" s="27"/>
      <c r="F573" s="1"/>
      <c r="G573" s="5"/>
      <c r="H573" s="16"/>
      <c r="I573" s="4"/>
      <c r="J573" s="4" t="b">
        <v>0</v>
      </c>
      <c r="K573" s="4" t="b">
        <v>0</v>
      </c>
      <c r="L573" s="1"/>
      <c r="M573" s="6"/>
      <c r="N573" s="1"/>
      <c r="O573" s="1"/>
      <c r="P573" s="1"/>
      <c r="Q573" s="1"/>
      <c r="R573" s="1"/>
      <c r="S573" s="1"/>
      <c r="T573" s="1"/>
      <c r="U573" s="1"/>
      <c r="V573" s="1"/>
      <c r="W573" s="1"/>
      <c r="X573" s="1"/>
      <c r="Y573" s="1"/>
      <c r="Z573" s="1"/>
      <c r="AA573" s="1"/>
      <c r="AB573" s="1"/>
    </row>
    <row r="574">
      <c r="A574" s="1"/>
      <c r="B574" s="1"/>
      <c r="C574" s="1"/>
      <c r="D574" s="1"/>
      <c r="E574" s="27"/>
      <c r="F574" s="1"/>
      <c r="G574" s="5"/>
      <c r="H574" s="16"/>
      <c r="I574" s="4"/>
      <c r="J574" s="4" t="b">
        <v>0</v>
      </c>
      <c r="K574" s="4" t="b">
        <v>0</v>
      </c>
      <c r="L574" s="1"/>
      <c r="M574" s="6"/>
      <c r="N574" s="1"/>
      <c r="O574" s="1"/>
      <c r="P574" s="1"/>
      <c r="Q574" s="1"/>
      <c r="R574" s="1"/>
      <c r="S574" s="1"/>
      <c r="T574" s="1"/>
      <c r="U574" s="1"/>
      <c r="V574" s="1"/>
      <c r="W574" s="1"/>
      <c r="X574" s="1"/>
      <c r="Y574" s="1"/>
      <c r="Z574" s="1"/>
      <c r="AA574" s="1"/>
      <c r="AB574" s="1"/>
    </row>
    <row r="575">
      <c r="A575" s="1"/>
      <c r="B575" s="1"/>
      <c r="C575" s="1"/>
      <c r="D575" s="1"/>
      <c r="E575" s="27"/>
      <c r="F575" s="1"/>
      <c r="G575" s="5"/>
      <c r="H575" s="16"/>
      <c r="I575" s="4"/>
      <c r="J575" s="4" t="b">
        <v>0</v>
      </c>
      <c r="K575" s="4" t="b">
        <v>0</v>
      </c>
      <c r="L575" s="1"/>
      <c r="M575" s="6"/>
      <c r="N575" s="1"/>
      <c r="O575" s="1"/>
      <c r="P575" s="1"/>
      <c r="Q575" s="1"/>
      <c r="R575" s="1"/>
      <c r="S575" s="1"/>
      <c r="T575" s="1"/>
      <c r="U575" s="1"/>
      <c r="V575" s="1"/>
      <c r="W575" s="1"/>
      <c r="X575" s="1"/>
      <c r="Y575" s="1"/>
      <c r="Z575" s="1"/>
      <c r="AA575" s="1"/>
      <c r="AB575" s="1"/>
    </row>
    <row r="576">
      <c r="A576" s="1"/>
      <c r="B576" s="1"/>
      <c r="C576" s="1"/>
      <c r="D576" s="1"/>
      <c r="E576" s="27"/>
      <c r="F576" s="1"/>
      <c r="G576" s="5"/>
      <c r="H576" s="16"/>
      <c r="I576" s="4"/>
      <c r="J576" s="4" t="b">
        <v>0</v>
      </c>
      <c r="K576" s="4" t="b">
        <v>0</v>
      </c>
      <c r="L576" s="1"/>
      <c r="M576" s="6"/>
      <c r="N576" s="1"/>
      <c r="O576" s="1"/>
      <c r="P576" s="1"/>
      <c r="Q576" s="1"/>
      <c r="R576" s="1"/>
      <c r="S576" s="1"/>
      <c r="T576" s="1"/>
      <c r="U576" s="1"/>
      <c r="V576" s="1"/>
      <c r="W576" s="1"/>
      <c r="X576" s="1"/>
      <c r="Y576" s="1"/>
      <c r="Z576" s="1"/>
      <c r="AA576" s="1"/>
      <c r="AB576" s="1"/>
    </row>
    <row r="577">
      <c r="A577" s="1"/>
      <c r="B577" s="1"/>
      <c r="C577" s="1"/>
      <c r="D577" s="1"/>
      <c r="E577" s="27"/>
      <c r="F577" s="1"/>
      <c r="G577" s="5"/>
      <c r="H577" s="16"/>
      <c r="I577" s="4"/>
      <c r="J577" s="4" t="b">
        <v>0</v>
      </c>
      <c r="K577" s="4" t="b">
        <v>0</v>
      </c>
      <c r="L577" s="1"/>
      <c r="M577" s="6"/>
      <c r="N577" s="1"/>
      <c r="O577" s="1"/>
      <c r="P577" s="1"/>
      <c r="Q577" s="1"/>
      <c r="R577" s="1"/>
      <c r="S577" s="1"/>
      <c r="T577" s="1"/>
      <c r="U577" s="1"/>
      <c r="V577" s="1"/>
      <c r="W577" s="1"/>
      <c r="X577" s="1"/>
      <c r="Y577" s="1"/>
      <c r="Z577" s="1"/>
      <c r="AA577" s="1"/>
      <c r="AB577" s="1"/>
    </row>
    <row r="578">
      <c r="A578" s="1"/>
      <c r="B578" s="1"/>
      <c r="C578" s="1"/>
      <c r="D578" s="1"/>
      <c r="E578" s="27"/>
      <c r="F578" s="1"/>
      <c r="G578" s="5"/>
      <c r="H578" s="16"/>
      <c r="I578" s="4"/>
      <c r="J578" s="4" t="b">
        <v>0</v>
      </c>
      <c r="K578" s="4" t="b">
        <v>0</v>
      </c>
      <c r="L578" s="1"/>
      <c r="M578" s="6"/>
      <c r="N578" s="1"/>
      <c r="O578" s="1"/>
      <c r="P578" s="1"/>
      <c r="Q578" s="1"/>
      <c r="R578" s="1"/>
      <c r="S578" s="1"/>
      <c r="T578" s="1"/>
      <c r="U578" s="1"/>
      <c r="V578" s="1"/>
      <c r="W578" s="1"/>
      <c r="X578" s="1"/>
      <c r="Y578" s="1"/>
      <c r="Z578" s="1"/>
      <c r="AA578" s="1"/>
      <c r="AB578" s="1"/>
    </row>
    <row r="579">
      <c r="A579" s="1"/>
      <c r="B579" s="1"/>
      <c r="C579" s="1"/>
      <c r="D579" s="1"/>
      <c r="E579" s="27"/>
      <c r="F579" s="1"/>
      <c r="G579" s="5"/>
      <c r="H579" s="16"/>
      <c r="I579" s="4"/>
      <c r="J579" s="4" t="b">
        <v>0</v>
      </c>
      <c r="K579" s="4" t="b">
        <v>0</v>
      </c>
      <c r="L579" s="1"/>
      <c r="M579" s="6"/>
      <c r="N579" s="1"/>
      <c r="O579" s="1"/>
      <c r="P579" s="1"/>
      <c r="Q579" s="1"/>
      <c r="R579" s="1"/>
      <c r="S579" s="1"/>
      <c r="T579" s="1"/>
      <c r="U579" s="1"/>
      <c r="V579" s="1"/>
      <c r="W579" s="1"/>
      <c r="X579" s="1"/>
      <c r="Y579" s="1"/>
      <c r="Z579" s="1"/>
      <c r="AA579" s="1"/>
      <c r="AB579" s="1"/>
    </row>
    <row r="580">
      <c r="A580" s="1"/>
      <c r="B580" s="1"/>
      <c r="C580" s="1"/>
      <c r="D580" s="1"/>
      <c r="E580" s="27"/>
      <c r="F580" s="1"/>
      <c r="G580" s="5"/>
      <c r="H580" s="16"/>
      <c r="I580" s="4"/>
      <c r="J580" s="4" t="b">
        <v>0</v>
      </c>
      <c r="K580" s="4" t="b">
        <v>0</v>
      </c>
      <c r="L580" s="1"/>
      <c r="M580" s="6"/>
      <c r="N580" s="1"/>
      <c r="O580" s="1"/>
      <c r="P580" s="1"/>
      <c r="Q580" s="1"/>
      <c r="R580" s="1"/>
      <c r="S580" s="1"/>
      <c r="T580" s="1"/>
      <c r="U580" s="1"/>
      <c r="V580" s="1"/>
      <c r="W580" s="1"/>
      <c r="X580" s="1"/>
      <c r="Y580" s="1"/>
      <c r="Z580" s="1"/>
      <c r="AA580" s="1"/>
      <c r="AB580" s="1"/>
    </row>
    <row r="581">
      <c r="A581" s="1"/>
      <c r="B581" s="1"/>
      <c r="C581" s="1"/>
      <c r="D581" s="1"/>
      <c r="E581" s="27"/>
      <c r="F581" s="1"/>
      <c r="G581" s="5"/>
      <c r="H581" s="16"/>
      <c r="I581" s="4"/>
      <c r="J581" s="4" t="b">
        <v>0</v>
      </c>
      <c r="K581" s="4" t="b">
        <v>0</v>
      </c>
      <c r="L581" s="1"/>
      <c r="M581" s="6"/>
      <c r="N581" s="1"/>
      <c r="O581" s="1"/>
      <c r="P581" s="1"/>
      <c r="Q581" s="1"/>
      <c r="R581" s="1"/>
      <c r="S581" s="1"/>
      <c r="T581" s="1"/>
      <c r="U581" s="1"/>
      <c r="V581" s="1"/>
      <c r="W581" s="1"/>
      <c r="X581" s="1"/>
      <c r="Y581" s="1"/>
      <c r="Z581" s="1"/>
      <c r="AA581" s="1"/>
      <c r="AB581" s="1"/>
    </row>
    <row r="582">
      <c r="A582" s="1"/>
      <c r="B582" s="1"/>
      <c r="C582" s="1"/>
      <c r="D582" s="1"/>
      <c r="E582" s="27"/>
      <c r="F582" s="1"/>
      <c r="G582" s="5"/>
      <c r="H582" s="16"/>
      <c r="I582" s="4"/>
      <c r="J582" s="4" t="b">
        <v>0</v>
      </c>
      <c r="K582" s="4" t="b">
        <v>0</v>
      </c>
      <c r="L582" s="1"/>
      <c r="M582" s="6"/>
      <c r="N582" s="1"/>
      <c r="O582" s="1"/>
      <c r="P582" s="1"/>
      <c r="Q582" s="1"/>
      <c r="R582" s="1"/>
      <c r="S582" s="1"/>
      <c r="T582" s="1"/>
      <c r="U582" s="1"/>
      <c r="V582" s="1"/>
      <c r="W582" s="1"/>
      <c r="X582" s="1"/>
      <c r="Y582" s="1"/>
      <c r="Z582" s="1"/>
      <c r="AA582" s="1"/>
      <c r="AB582" s="1"/>
    </row>
    <row r="583">
      <c r="A583" s="1"/>
      <c r="B583" s="1"/>
      <c r="C583" s="1"/>
      <c r="D583" s="1"/>
      <c r="E583" s="27"/>
      <c r="F583" s="1"/>
      <c r="G583" s="5"/>
      <c r="H583" s="16"/>
      <c r="I583" s="4"/>
      <c r="J583" s="4" t="b">
        <v>0</v>
      </c>
      <c r="K583" s="4" t="b">
        <v>0</v>
      </c>
      <c r="L583" s="1"/>
      <c r="M583" s="6"/>
      <c r="N583" s="1"/>
      <c r="O583" s="1"/>
      <c r="P583" s="1"/>
      <c r="Q583" s="1"/>
      <c r="R583" s="1"/>
      <c r="S583" s="1"/>
      <c r="T583" s="1"/>
      <c r="U583" s="1"/>
      <c r="V583" s="1"/>
      <c r="W583" s="1"/>
      <c r="X583" s="1"/>
      <c r="Y583" s="1"/>
      <c r="Z583" s="1"/>
      <c r="AA583" s="1"/>
      <c r="AB583" s="1"/>
    </row>
    <row r="584">
      <c r="A584" s="1"/>
      <c r="B584" s="1"/>
      <c r="C584" s="1"/>
      <c r="D584" s="1"/>
      <c r="E584" s="27"/>
      <c r="F584" s="1"/>
      <c r="G584" s="5"/>
      <c r="H584" s="16"/>
      <c r="I584" s="4"/>
      <c r="J584" s="4" t="b">
        <v>0</v>
      </c>
      <c r="K584" s="4" t="b">
        <v>0</v>
      </c>
      <c r="L584" s="1"/>
      <c r="M584" s="6"/>
      <c r="N584" s="1"/>
      <c r="O584" s="1"/>
      <c r="P584" s="1"/>
      <c r="Q584" s="1"/>
      <c r="R584" s="1"/>
      <c r="S584" s="1"/>
      <c r="T584" s="1"/>
      <c r="U584" s="1"/>
      <c r="V584" s="1"/>
      <c r="W584" s="1"/>
      <c r="X584" s="1"/>
      <c r="Y584" s="1"/>
      <c r="Z584" s="1"/>
      <c r="AA584" s="1"/>
      <c r="AB584" s="1"/>
    </row>
    <row r="585">
      <c r="A585" s="1"/>
      <c r="B585" s="1"/>
      <c r="C585" s="1"/>
      <c r="D585" s="1"/>
      <c r="E585" s="27"/>
      <c r="F585" s="1"/>
      <c r="G585" s="5"/>
      <c r="H585" s="16"/>
      <c r="I585" s="4"/>
      <c r="J585" s="4" t="b">
        <v>0</v>
      </c>
      <c r="K585" s="4" t="b">
        <v>0</v>
      </c>
      <c r="L585" s="1"/>
      <c r="M585" s="6"/>
      <c r="N585" s="1"/>
      <c r="O585" s="1"/>
      <c r="P585" s="1"/>
      <c r="Q585" s="1"/>
      <c r="R585" s="1"/>
      <c r="S585" s="1"/>
      <c r="T585" s="1"/>
      <c r="U585" s="1"/>
      <c r="V585" s="1"/>
      <c r="W585" s="1"/>
      <c r="X585" s="1"/>
      <c r="Y585" s="1"/>
      <c r="Z585" s="1"/>
      <c r="AA585" s="1"/>
      <c r="AB585" s="1"/>
    </row>
    <row r="586">
      <c r="A586" s="1"/>
      <c r="B586" s="1"/>
      <c r="C586" s="1"/>
      <c r="D586" s="1"/>
      <c r="E586" s="27"/>
      <c r="F586" s="1"/>
      <c r="G586" s="5"/>
      <c r="H586" s="16"/>
      <c r="I586" s="4"/>
      <c r="J586" s="4" t="b">
        <v>0</v>
      </c>
      <c r="K586" s="4" t="b">
        <v>0</v>
      </c>
      <c r="L586" s="1"/>
      <c r="M586" s="6"/>
      <c r="N586" s="1"/>
      <c r="O586" s="1"/>
      <c r="P586" s="1"/>
      <c r="Q586" s="1"/>
      <c r="R586" s="1"/>
      <c r="S586" s="1"/>
      <c r="T586" s="1"/>
      <c r="U586" s="1"/>
      <c r="V586" s="1"/>
      <c r="W586" s="1"/>
      <c r="X586" s="1"/>
      <c r="Y586" s="1"/>
      <c r="Z586" s="1"/>
      <c r="AA586" s="1"/>
      <c r="AB586" s="1"/>
    </row>
    <row r="587">
      <c r="A587" s="1"/>
      <c r="B587" s="1"/>
      <c r="C587" s="1"/>
      <c r="D587" s="1"/>
      <c r="E587" s="27"/>
      <c r="F587" s="1"/>
      <c r="G587" s="5"/>
      <c r="H587" s="16"/>
      <c r="I587" s="4"/>
      <c r="J587" s="4" t="b">
        <v>0</v>
      </c>
      <c r="K587" s="4" t="b">
        <v>0</v>
      </c>
      <c r="L587" s="1"/>
      <c r="M587" s="6"/>
      <c r="N587" s="1"/>
      <c r="O587" s="1"/>
      <c r="P587" s="1"/>
      <c r="Q587" s="1"/>
      <c r="R587" s="1"/>
      <c r="S587" s="1"/>
      <c r="T587" s="1"/>
      <c r="U587" s="1"/>
      <c r="V587" s="1"/>
      <c r="W587" s="1"/>
      <c r="X587" s="1"/>
      <c r="Y587" s="1"/>
      <c r="Z587" s="1"/>
      <c r="AA587" s="1"/>
      <c r="AB587" s="1"/>
    </row>
    <row r="588">
      <c r="A588" s="1"/>
      <c r="B588" s="1"/>
      <c r="C588" s="1"/>
      <c r="D588" s="1"/>
      <c r="E588" s="27"/>
      <c r="F588" s="1"/>
      <c r="G588" s="5"/>
      <c r="H588" s="16"/>
      <c r="I588" s="4"/>
      <c r="J588" s="4" t="b">
        <v>0</v>
      </c>
      <c r="K588" s="4" t="b">
        <v>0</v>
      </c>
      <c r="L588" s="1"/>
      <c r="M588" s="6"/>
      <c r="N588" s="1"/>
      <c r="O588" s="1"/>
      <c r="P588" s="1"/>
      <c r="Q588" s="1"/>
      <c r="R588" s="1"/>
      <c r="S588" s="1"/>
      <c r="T588" s="1"/>
      <c r="U588" s="1"/>
      <c r="V588" s="1"/>
      <c r="W588" s="1"/>
      <c r="X588" s="1"/>
      <c r="Y588" s="1"/>
      <c r="Z588" s="1"/>
      <c r="AA588" s="1"/>
      <c r="AB588" s="1"/>
    </row>
    <row r="589">
      <c r="A589" s="1"/>
      <c r="B589" s="1"/>
      <c r="C589" s="1"/>
      <c r="D589" s="1"/>
      <c r="E589" s="27"/>
      <c r="F589" s="1"/>
      <c r="G589" s="5"/>
      <c r="H589" s="16"/>
      <c r="I589" s="4"/>
      <c r="J589" s="4" t="b">
        <v>0</v>
      </c>
      <c r="K589" s="4" t="b">
        <v>0</v>
      </c>
      <c r="L589" s="1"/>
      <c r="M589" s="6"/>
      <c r="N589" s="1"/>
      <c r="O589" s="1"/>
      <c r="P589" s="1"/>
      <c r="Q589" s="1"/>
      <c r="R589" s="1"/>
      <c r="S589" s="1"/>
      <c r="T589" s="1"/>
      <c r="U589" s="1"/>
      <c r="V589" s="1"/>
      <c r="W589" s="1"/>
      <c r="X589" s="1"/>
      <c r="Y589" s="1"/>
      <c r="Z589" s="1"/>
      <c r="AA589" s="1"/>
      <c r="AB589" s="1"/>
    </row>
    <row r="590">
      <c r="A590" s="1"/>
      <c r="B590" s="1"/>
      <c r="C590" s="1"/>
      <c r="D590" s="1"/>
      <c r="E590" s="27"/>
      <c r="F590" s="1"/>
      <c r="G590" s="5"/>
      <c r="H590" s="16"/>
      <c r="I590" s="4"/>
      <c r="J590" s="4" t="b">
        <v>0</v>
      </c>
      <c r="K590" s="4" t="b">
        <v>0</v>
      </c>
      <c r="L590" s="1"/>
      <c r="M590" s="6"/>
      <c r="N590" s="1"/>
      <c r="O590" s="1"/>
      <c r="P590" s="1"/>
      <c r="Q590" s="1"/>
      <c r="R590" s="1"/>
      <c r="S590" s="1"/>
      <c r="T590" s="1"/>
      <c r="U590" s="1"/>
      <c r="V590" s="1"/>
      <c r="W590" s="1"/>
      <c r="X590" s="1"/>
      <c r="Y590" s="1"/>
      <c r="Z590" s="1"/>
      <c r="AA590" s="1"/>
      <c r="AB590" s="1"/>
    </row>
    <row r="591">
      <c r="A591" s="1"/>
      <c r="B591" s="1"/>
      <c r="C591" s="1"/>
      <c r="D591" s="1"/>
      <c r="E591" s="27"/>
      <c r="F591" s="1"/>
      <c r="G591" s="5"/>
      <c r="H591" s="16"/>
      <c r="I591" s="4"/>
      <c r="J591" s="4" t="b">
        <v>0</v>
      </c>
      <c r="K591" s="4" t="b">
        <v>0</v>
      </c>
      <c r="L591" s="1"/>
      <c r="M591" s="6"/>
      <c r="N591" s="1"/>
      <c r="O591" s="1"/>
      <c r="P591" s="1"/>
      <c r="Q591" s="1"/>
      <c r="R591" s="1"/>
      <c r="S591" s="1"/>
      <c r="T591" s="1"/>
      <c r="U591" s="1"/>
      <c r="V591" s="1"/>
      <c r="W591" s="1"/>
      <c r="X591" s="1"/>
      <c r="Y591" s="1"/>
      <c r="Z591" s="1"/>
      <c r="AA591" s="1"/>
      <c r="AB591" s="1"/>
    </row>
    <row r="592">
      <c r="A592" s="1"/>
      <c r="B592" s="1"/>
      <c r="C592" s="1"/>
      <c r="D592" s="1"/>
      <c r="E592" s="27"/>
      <c r="F592" s="1"/>
      <c r="G592" s="5"/>
      <c r="H592" s="16"/>
      <c r="I592" s="4"/>
      <c r="J592" s="4" t="b">
        <v>0</v>
      </c>
      <c r="K592" s="4" t="b">
        <v>0</v>
      </c>
      <c r="L592" s="1"/>
      <c r="M592" s="6"/>
      <c r="N592" s="1"/>
      <c r="O592" s="1"/>
      <c r="P592" s="1"/>
      <c r="Q592" s="1"/>
      <c r="R592" s="1"/>
      <c r="S592" s="1"/>
      <c r="T592" s="1"/>
      <c r="U592" s="1"/>
      <c r="V592" s="1"/>
      <c r="W592" s="1"/>
      <c r="X592" s="1"/>
      <c r="Y592" s="1"/>
      <c r="Z592" s="1"/>
      <c r="AA592" s="1"/>
      <c r="AB592" s="1"/>
    </row>
    <row r="593">
      <c r="A593" s="1"/>
      <c r="B593" s="1"/>
      <c r="C593" s="1"/>
      <c r="D593" s="1"/>
      <c r="E593" s="27"/>
      <c r="F593" s="1"/>
      <c r="G593" s="5"/>
      <c r="H593" s="16"/>
      <c r="I593" s="4"/>
      <c r="J593" s="4" t="b">
        <v>0</v>
      </c>
      <c r="K593" s="4" t="b">
        <v>0</v>
      </c>
      <c r="L593" s="1"/>
      <c r="M593" s="6"/>
      <c r="N593" s="1"/>
      <c r="O593" s="1"/>
      <c r="P593" s="1"/>
      <c r="Q593" s="1"/>
      <c r="R593" s="1"/>
      <c r="S593" s="1"/>
      <c r="T593" s="1"/>
      <c r="U593" s="1"/>
      <c r="V593" s="1"/>
      <c r="W593" s="1"/>
      <c r="X593" s="1"/>
      <c r="Y593" s="1"/>
      <c r="Z593" s="1"/>
      <c r="AA593" s="1"/>
      <c r="AB593" s="1"/>
    </row>
    <row r="594">
      <c r="A594" s="1"/>
      <c r="B594" s="1"/>
      <c r="C594" s="1"/>
      <c r="D594" s="1"/>
      <c r="E594" s="27"/>
      <c r="F594" s="1"/>
      <c r="G594" s="5"/>
      <c r="H594" s="16"/>
      <c r="I594" s="4"/>
      <c r="J594" s="4" t="b">
        <v>0</v>
      </c>
      <c r="K594" s="4" t="b">
        <v>0</v>
      </c>
      <c r="L594" s="1"/>
      <c r="M594" s="6"/>
      <c r="N594" s="1"/>
      <c r="O594" s="1"/>
      <c r="P594" s="1"/>
      <c r="Q594" s="1"/>
      <c r="R594" s="1"/>
      <c r="S594" s="1"/>
      <c r="T594" s="1"/>
      <c r="U594" s="1"/>
      <c r="V594" s="1"/>
      <c r="W594" s="1"/>
      <c r="X594" s="1"/>
      <c r="Y594" s="1"/>
      <c r="Z594" s="1"/>
      <c r="AA594" s="1"/>
      <c r="AB594" s="1"/>
    </row>
    <row r="595">
      <c r="A595" s="1"/>
      <c r="B595" s="1"/>
      <c r="C595" s="1"/>
      <c r="D595" s="1"/>
      <c r="E595" s="27"/>
      <c r="F595" s="1"/>
      <c r="G595" s="5"/>
      <c r="H595" s="16"/>
      <c r="I595" s="4"/>
      <c r="J595" s="4" t="b">
        <v>0</v>
      </c>
      <c r="K595" s="4" t="b">
        <v>0</v>
      </c>
      <c r="L595" s="1"/>
      <c r="M595" s="6"/>
      <c r="N595" s="1"/>
      <c r="O595" s="1"/>
      <c r="P595" s="1"/>
      <c r="Q595" s="1"/>
      <c r="R595" s="1"/>
      <c r="S595" s="1"/>
      <c r="T595" s="1"/>
      <c r="U595" s="1"/>
      <c r="V595" s="1"/>
      <c r="W595" s="1"/>
      <c r="X595" s="1"/>
      <c r="Y595" s="1"/>
      <c r="Z595" s="1"/>
      <c r="AA595" s="1"/>
      <c r="AB595" s="1"/>
    </row>
    <row r="596">
      <c r="A596" s="1"/>
      <c r="B596" s="1"/>
      <c r="C596" s="1"/>
      <c r="D596" s="1"/>
      <c r="E596" s="27"/>
      <c r="F596" s="1"/>
      <c r="G596" s="5"/>
      <c r="H596" s="16"/>
      <c r="I596" s="4"/>
      <c r="J596" s="4" t="b">
        <v>0</v>
      </c>
      <c r="K596" s="4" t="b">
        <v>0</v>
      </c>
      <c r="L596" s="1"/>
      <c r="M596" s="6"/>
      <c r="N596" s="1"/>
      <c r="O596" s="1"/>
      <c r="P596" s="1"/>
      <c r="Q596" s="1"/>
      <c r="R596" s="1"/>
      <c r="S596" s="1"/>
      <c r="T596" s="1"/>
      <c r="U596" s="1"/>
      <c r="V596" s="1"/>
      <c r="W596" s="1"/>
      <c r="X596" s="1"/>
      <c r="Y596" s="1"/>
      <c r="Z596" s="1"/>
      <c r="AA596" s="1"/>
      <c r="AB596" s="1"/>
    </row>
    <row r="597">
      <c r="A597" s="1"/>
      <c r="B597" s="1"/>
      <c r="C597" s="1"/>
      <c r="D597" s="1"/>
      <c r="E597" s="27"/>
      <c r="F597" s="1"/>
      <c r="G597" s="5"/>
      <c r="H597" s="16"/>
      <c r="I597" s="4"/>
      <c r="J597" s="4" t="b">
        <v>0</v>
      </c>
      <c r="K597" s="4" t="b">
        <v>0</v>
      </c>
      <c r="L597" s="1"/>
      <c r="M597" s="6"/>
      <c r="N597" s="1"/>
      <c r="O597" s="1"/>
      <c r="P597" s="1"/>
      <c r="Q597" s="1"/>
      <c r="R597" s="1"/>
      <c r="S597" s="1"/>
      <c r="T597" s="1"/>
      <c r="U597" s="1"/>
      <c r="V597" s="1"/>
      <c r="W597" s="1"/>
      <c r="X597" s="1"/>
      <c r="Y597" s="1"/>
      <c r="Z597" s="1"/>
      <c r="AA597" s="1"/>
      <c r="AB597" s="1"/>
    </row>
  </sheetData>
  <dataValidations>
    <dataValidation type="list" allowBlank="1" showErrorMessage="1" sqref="I2:I597">
      <formula1>"Amos,Cheng,YH"</formula1>
    </dataValidation>
    <dataValidation type="list" allowBlank="1" showErrorMessage="1" sqref="A2:A597">
      <formula1>"OS,OD,OG,IF,DR"</formula1>
    </dataValidation>
    <dataValidation type="list" allowBlank="1" showErrorMessage="1" sqref="B2:B597">
      <formula1>"應用,隱私,定義,治理,推動,技術,法制化,授權,政策,公私協力,趨勢,活動,研究,案例"</formula1>
    </dataValidation>
  </dataValidations>
  <hyperlinks>
    <hyperlink r:id="rId4" ref="G3"/>
    <hyperlink r:id="rId5" ref="G4"/>
    <hyperlink r:id="rId6" ref="G6"/>
    <hyperlink r:id="rId7" ref="H6"/>
    <hyperlink r:id="rId8" ref="G7"/>
    <hyperlink r:id="rId9" ref="H7"/>
    <hyperlink r:id="rId10" ref="G8"/>
    <hyperlink r:id="rId11" ref="H8"/>
    <hyperlink r:id="rId12" ref="G9"/>
    <hyperlink r:id="rId13" ref="H9"/>
    <hyperlink r:id="rId14" ref="G10"/>
    <hyperlink r:id="rId15" ref="H10"/>
    <hyperlink r:id="rId16" ref="G11"/>
    <hyperlink r:id="rId17" ref="H11"/>
    <hyperlink r:id="rId18" ref="H12"/>
    <hyperlink r:id="rId19" ref="G13"/>
    <hyperlink r:id="rId20" ref="G14"/>
    <hyperlink r:id="rId21" ref="H14"/>
    <hyperlink r:id="rId22" ref="G15"/>
    <hyperlink r:id="rId23" ref="G16"/>
    <hyperlink r:id="rId24" ref="H16"/>
    <hyperlink r:id="rId25" ref="G17"/>
    <hyperlink r:id="rId26" ref="G18"/>
    <hyperlink r:id="rId27" ref="H18"/>
    <hyperlink r:id="rId28" ref="G19"/>
    <hyperlink r:id="rId29" ref="H19"/>
    <hyperlink r:id="rId30" ref="G20"/>
    <hyperlink r:id="rId31" ref="H20"/>
    <hyperlink r:id="rId32" ref="G21"/>
    <hyperlink r:id="rId33" ref="H21"/>
    <hyperlink r:id="rId34" ref="G22"/>
    <hyperlink r:id="rId35" ref="G23"/>
    <hyperlink r:id="rId36" ref="G24"/>
    <hyperlink r:id="rId37" ref="G27"/>
    <hyperlink r:id="rId38" ref="G28"/>
    <hyperlink r:id="rId39" ref="G29"/>
    <hyperlink r:id="rId40" ref="G30"/>
    <hyperlink r:id="rId41" ref="G31"/>
    <hyperlink r:id="rId42" ref="G32"/>
    <hyperlink r:id="rId43" ref="G33"/>
    <hyperlink r:id="rId44" ref="G34"/>
    <hyperlink r:id="rId45" ref="G35"/>
    <hyperlink r:id="rId46" ref="G36"/>
    <hyperlink r:id="rId47" ref="G37"/>
    <hyperlink r:id="rId48" ref="G39"/>
    <hyperlink r:id="rId49" ref="G40"/>
    <hyperlink r:id="rId50" ref="G41"/>
    <hyperlink r:id="rId51" ref="G44"/>
    <hyperlink r:id="rId52" ref="G45"/>
    <hyperlink r:id="rId53" ref="G46"/>
    <hyperlink r:id="rId54" ref="G48"/>
    <hyperlink r:id="rId55" ref="G49"/>
    <hyperlink r:id="rId56" ref="G51"/>
    <hyperlink r:id="rId57" ref="G52"/>
    <hyperlink r:id="rId58" ref="G53"/>
    <hyperlink r:id="rId59" ref="G54"/>
    <hyperlink r:id="rId60" ref="G55"/>
    <hyperlink r:id="rId61" ref="G56"/>
    <hyperlink r:id="rId62" ref="G57"/>
    <hyperlink r:id="rId63" ref="G58"/>
    <hyperlink r:id="rId64" ref="G59"/>
    <hyperlink r:id="rId65" ref="G60"/>
    <hyperlink r:id="rId66" ref="G61"/>
    <hyperlink r:id="rId67" ref="G62"/>
    <hyperlink r:id="rId68" ref="G63"/>
    <hyperlink r:id="rId69" ref="G64"/>
    <hyperlink r:id="rId70" ref="G65"/>
    <hyperlink r:id="rId71" ref="G66"/>
    <hyperlink r:id="rId72" ref="G67"/>
    <hyperlink r:id="rId73" ref="G68"/>
    <hyperlink r:id="rId74" ref="G69"/>
    <hyperlink r:id="rId75" ref="G70"/>
    <hyperlink r:id="rId76" ref="G71"/>
    <hyperlink r:id="rId77" ref="G72"/>
    <hyperlink r:id="rId78" ref="G73"/>
    <hyperlink r:id="rId79" ref="G74"/>
    <hyperlink r:id="rId80" ref="G75"/>
    <hyperlink r:id="rId81" ref="G76"/>
    <hyperlink r:id="rId82" ref="G77"/>
    <hyperlink r:id="rId83" ref="G78"/>
    <hyperlink r:id="rId84" ref="G79"/>
    <hyperlink r:id="rId85" ref="G80"/>
    <hyperlink r:id="rId86" ref="G81"/>
    <hyperlink r:id="rId87" ref="G82"/>
    <hyperlink r:id="rId88" ref="G83"/>
    <hyperlink r:id="rId89" ref="G84"/>
    <hyperlink r:id="rId90" ref="G85"/>
    <hyperlink r:id="rId91" ref="G86"/>
    <hyperlink r:id="rId92" ref="G87"/>
    <hyperlink r:id="rId93" ref="G88"/>
    <hyperlink r:id="rId94" ref="G89"/>
    <hyperlink r:id="rId95" ref="G90"/>
    <hyperlink r:id="rId96" ref="G91"/>
    <hyperlink r:id="rId97" ref="G92"/>
    <hyperlink r:id="rId98" ref="G93"/>
    <hyperlink r:id="rId99" ref="G94"/>
    <hyperlink r:id="rId100" ref="G95"/>
    <hyperlink r:id="rId101" ref="G96"/>
    <hyperlink r:id="rId102" ref="G97"/>
    <hyperlink r:id="rId103" ref="G98"/>
    <hyperlink r:id="rId104" ref="G99"/>
    <hyperlink r:id="rId105" ref="G100"/>
    <hyperlink r:id="rId106" ref="G101"/>
    <hyperlink r:id="rId107" ref="G102"/>
    <hyperlink r:id="rId108" ref="G103"/>
    <hyperlink r:id="rId109" ref="G104"/>
    <hyperlink r:id="rId110" ref="G105"/>
    <hyperlink r:id="rId111" ref="G106"/>
    <hyperlink r:id="rId112" ref="G107"/>
    <hyperlink r:id="rId113" ref="G108"/>
    <hyperlink r:id="rId114" ref="G109"/>
    <hyperlink r:id="rId115" ref="G111"/>
    <hyperlink r:id="rId116" ref="G112"/>
    <hyperlink r:id="rId117" ref="G113"/>
    <hyperlink r:id="rId118" ref="G114"/>
    <hyperlink r:id="rId119" ref="G115"/>
    <hyperlink r:id="rId120" ref="G116"/>
    <hyperlink r:id="rId121" ref="G117"/>
    <hyperlink r:id="rId122" ref="G118"/>
    <hyperlink r:id="rId123" ref="G119"/>
    <hyperlink r:id="rId124" ref="G120"/>
    <hyperlink r:id="rId125" ref="G121"/>
    <hyperlink r:id="rId126" ref="G122"/>
    <hyperlink r:id="rId127" ref="G123"/>
    <hyperlink r:id="rId128" ref="G124"/>
    <hyperlink r:id="rId129" ref="G125"/>
    <hyperlink r:id="rId130" ref="G126"/>
    <hyperlink r:id="rId131" ref="G127"/>
    <hyperlink r:id="rId132" ref="G128"/>
    <hyperlink r:id="rId133" ref="G129"/>
    <hyperlink r:id="rId134" ref="G131"/>
    <hyperlink r:id="rId135" ref="G132"/>
    <hyperlink r:id="rId136" ref="G133"/>
    <hyperlink r:id="rId137" ref="G134"/>
    <hyperlink r:id="rId138" ref="G135"/>
    <hyperlink r:id="rId139" ref="G136"/>
    <hyperlink r:id="rId140" ref="G137"/>
    <hyperlink r:id="rId141" ref="G138"/>
    <hyperlink r:id="rId142" ref="G140"/>
    <hyperlink r:id="rId143" ref="G141"/>
    <hyperlink r:id="rId144" ref="G142"/>
    <hyperlink r:id="rId145" ref="G143"/>
    <hyperlink r:id="rId146" ref="G144"/>
    <hyperlink r:id="rId147" ref="G145"/>
    <hyperlink r:id="rId148" ref="G146"/>
    <hyperlink r:id="rId149" ref="G147"/>
    <hyperlink r:id="rId150" ref="G148"/>
    <hyperlink r:id="rId151" ref="N148"/>
    <hyperlink r:id="rId152" ref="G149"/>
    <hyperlink r:id="rId153" ref="H149"/>
    <hyperlink r:id="rId154" ref="G151"/>
    <hyperlink r:id="rId155" ref="H151"/>
    <hyperlink r:id="rId156" ref="G152"/>
    <hyperlink r:id="rId157" ref="G153"/>
    <hyperlink r:id="rId158" ref="G154"/>
    <hyperlink r:id="rId159" ref="G155"/>
    <hyperlink r:id="rId160" ref="H155"/>
    <hyperlink r:id="rId161" ref="G156"/>
    <hyperlink r:id="rId162" ref="G157"/>
    <hyperlink r:id="rId163" ref="H157"/>
    <hyperlink r:id="rId164" ref="G158"/>
    <hyperlink r:id="rId165" ref="G159"/>
    <hyperlink r:id="rId166" location="750" ref="H159"/>
    <hyperlink r:id="rId167" ref="G160"/>
    <hyperlink r:id="rId168" ref="G161"/>
    <hyperlink r:id="rId169" ref="H161"/>
    <hyperlink r:id="rId170" ref="G162"/>
    <hyperlink r:id="rId171" ref="G163"/>
    <hyperlink r:id="rId172" ref="G164"/>
    <hyperlink r:id="rId173" ref="G165"/>
    <hyperlink r:id="rId174" ref="G166"/>
    <hyperlink r:id="rId175" ref="G167"/>
    <hyperlink r:id="rId176" ref="H167"/>
    <hyperlink r:id="rId177" ref="G168"/>
    <hyperlink r:id="rId178" ref="G169"/>
    <hyperlink r:id="rId179" ref="G170"/>
    <hyperlink r:id="rId180" ref="G171"/>
    <hyperlink r:id="rId181" ref="G172"/>
    <hyperlink r:id="rId182" ref="G173"/>
    <hyperlink r:id="rId183" ref="G174"/>
    <hyperlink r:id="rId184" ref="G176"/>
    <hyperlink r:id="rId185" ref="G177"/>
    <hyperlink r:id="rId186" ref="G178"/>
    <hyperlink r:id="rId187" ref="G179"/>
    <hyperlink r:id="rId188" ref="G180"/>
    <hyperlink r:id="rId189" ref="G181"/>
    <hyperlink r:id="rId190" ref="G182"/>
    <hyperlink r:id="rId191" ref="G183"/>
    <hyperlink r:id="rId192" ref="G184"/>
    <hyperlink r:id="rId193" ref="G185"/>
    <hyperlink r:id="rId194" ref="G186"/>
    <hyperlink r:id="rId195" ref="G187"/>
    <hyperlink r:id="rId196" ref="G188"/>
    <hyperlink r:id="rId197" ref="G189"/>
    <hyperlink r:id="rId198" ref="G190"/>
    <hyperlink r:id="rId199" ref="G191"/>
    <hyperlink r:id="rId200" ref="G192"/>
    <hyperlink r:id="rId201" ref="G194"/>
    <hyperlink r:id="rId202" ref="G195"/>
    <hyperlink r:id="rId203" ref="G196"/>
    <hyperlink r:id="rId204" ref="G198"/>
    <hyperlink r:id="rId205" ref="H198"/>
    <hyperlink r:id="rId206" ref="G199"/>
    <hyperlink r:id="rId207" ref="G202"/>
    <hyperlink r:id="rId208" ref="G203"/>
    <hyperlink r:id="rId209" ref="G204"/>
    <hyperlink r:id="rId210" ref="G205"/>
    <hyperlink r:id="rId211" ref="G206"/>
    <hyperlink r:id="rId212" ref="G207"/>
    <hyperlink r:id="rId213" ref="G208"/>
    <hyperlink r:id="rId214" ref="H208"/>
    <hyperlink r:id="rId215" ref="G209"/>
    <hyperlink r:id="rId216" ref="G210"/>
    <hyperlink r:id="rId217" ref="G211"/>
    <hyperlink r:id="rId218" ref="G212"/>
    <hyperlink r:id="rId219" ref="H212"/>
    <hyperlink r:id="rId220" ref="G213"/>
    <hyperlink r:id="rId221" ref="G214"/>
    <hyperlink r:id="rId222" ref="G215"/>
    <hyperlink r:id="rId223" ref="G216"/>
    <hyperlink r:id="rId224" ref="G217"/>
    <hyperlink r:id="rId225" ref="G219"/>
    <hyperlink r:id="rId226" ref="G220"/>
    <hyperlink r:id="rId227" ref="G221"/>
    <hyperlink r:id="rId228" ref="G222"/>
    <hyperlink r:id="rId229" ref="G223"/>
    <hyperlink r:id="rId230" ref="H223"/>
    <hyperlink r:id="rId231" ref="G224"/>
    <hyperlink r:id="rId232" ref="H224"/>
    <hyperlink r:id="rId233" ref="G225"/>
    <hyperlink r:id="rId234" ref="G226"/>
    <hyperlink r:id="rId235" ref="G227"/>
    <hyperlink r:id="rId236" ref="G228"/>
    <hyperlink r:id="rId237" ref="G229"/>
    <hyperlink r:id="rId238" ref="G230"/>
    <hyperlink r:id="rId239" ref="G231"/>
    <hyperlink r:id="rId240" ref="G232"/>
    <hyperlink r:id="rId241" ref="G234"/>
    <hyperlink r:id="rId242" ref="G235"/>
    <hyperlink r:id="rId243" ref="H235"/>
    <hyperlink r:id="rId244" ref="G236"/>
    <hyperlink r:id="rId245" location="unsloth-ai-bending-the-cost-curve-of-fine-tuning-models" ref="G237"/>
    <hyperlink r:id="rId246" location="unsloth-ai-bending-the-cost-curve-of-fine-tuning-models" ref="H237"/>
    <hyperlink r:id="rId247" ref="G238"/>
    <hyperlink r:id="rId248" ref="G239"/>
    <hyperlink r:id="rId249" ref="G240"/>
    <hyperlink r:id="rId250" ref="G241"/>
    <hyperlink r:id="rId251" ref="G242"/>
    <hyperlink r:id="rId252" ref="H242"/>
    <hyperlink r:id="rId253" ref="G243"/>
    <hyperlink r:id="rId254" ref="G244"/>
    <hyperlink r:id="rId255" ref="G245"/>
    <hyperlink r:id="rId256" ref="G246"/>
    <hyperlink r:id="rId257" ref="G247"/>
    <hyperlink r:id="rId258" ref="G248"/>
    <hyperlink r:id="rId259" ref="G249"/>
    <hyperlink r:id="rId260" ref="G250"/>
    <hyperlink r:id="rId261" ref="G252"/>
    <hyperlink r:id="rId262" ref="G253"/>
    <hyperlink r:id="rId263" ref="G254"/>
    <hyperlink r:id="rId264" ref="G255"/>
    <hyperlink r:id="rId265" ref="G256"/>
    <hyperlink r:id="rId266" ref="G257"/>
    <hyperlink r:id="rId267" ref="G258"/>
    <hyperlink r:id="rId268" ref="G259"/>
    <hyperlink r:id="rId269" ref="G260"/>
    <hyperlink r:id="rId270" ref="G261"/>
    <hyperlink r:id="rId271" ref="G262"/>
    <hyperlink r:id="rId272" ref="G263"/>
    <hyperlink r:id="rId273" ref="H263"/>
    <hyperlink r:id="rId274" ref="G264"/>
    <hyperlink r:id="rId275" ref="G265"/>
    <hyperlink r:id="rId276" ref="G266"/>
    <hyperlink r:id="rId277" location="giskard-the-testing-platform-for-ai-models-bringing-transparency-and-accountability" ref="G267"/>
    <hyperlink r:id="rId278" ref="G269"/>
    <hyperlink r:id="rId279" ref="G270"/>
    <hyperlink r:id="rId280" ref="G271"/>
    <hyperlink r:id="rId281" ref="G272"/>
    <hyperlink r:id="rId282" ref="G273"/>
    <hyperlink r:id="rId283" ref="G274"/>
    <hyperlink r:id="rId284" ref="G275"/>
    <hyperlink r:id="rId285" ref="G276"/>
    <hyperlink r:id="rId286" ref="G277"/>
    <hyperlink r:id="rId287" ref="G278"/>
    <hyperlink r:id="rId288" ref="G279"/>
    <hyperlink r:id="rId289" ref="G280"/>
    <hyperlink r:id="rId290" ref="G281"/>
    <hyperlink r:id="rId291" ref="G282"/>
    <hyperlink r:id="rId292" ref="G283"/>
    <hyperlink r:id="rId293" ref="G284"/>
    <hyperlink r:id="rId294" ref="G285"/>
    <hyperlink r:id="rId295" ref="H285"/>
    <hyperlink r:id="rId296" ref="G286"/>
    <hyperlink r:id="rId297" ref="G288"/>
    <hyperlink r:id="rId298" ref="G289"/>
    <hyperlink r:id="rId299" ref="G290"/>
    <hyperlink r:id="rId300" ref="G291"/>
    <hyperlink r:id="rId301" ref="G292"/>
    <hyperlink r:id="rId302" ref="G293"/>
    <hyperlink r:id="rId303" ref="G294"/>
    <hyperlink r:id="rId304" ref="G295"/>
    <hyperlink r:id="rId305" ref="G296"/>
    <hyperlink r:id="rId306" ref="G297"/>
    <hyperlink r:id="rId307" ref="G298"/>
    <hyperlink r:id="rId308" ref="G299"/>
    <hyperlink r:id="rId309" ref="G300"/>
    <hyperlink r:id="rId310" ref="G301"/>
    <hyperlink r:id="rId311" ref="G302"/>
    <hyperlink r:id="rId312" ref="H302"/>
    <hyperlink r:id="rId313" ref="G303"/>
    <hyperlink r:id="rId314" ref="G304"/>
    <hyperlink r:id="rId315" ref="G305"/>
    <hyperlink r:id="rId316" ref="G306"/>
    <hyperlink r:id="rId317" ref="G307"/>
    <hyperlink r:id="rId318" ref="G308"/>
    <hyperlink r:id="rId319" ref="C309"/>
    <hyperlink r:id="rId320" ref="G309"/>
    <hyperlink r:id="rId321" ref="H309"/>
    <hyperlink r:id="rId322" ref="G311"/>
    <hyperlink r:id="rId323" ref="G312"/>
    <hyperlink r:id="rId324" ref="G313"/>
    <hyperlink r:id="rId325" ref="H313"/>
    <hyperlink r:id="rId326" ref="G314"/>
    <hyperlink r:id="rId327" ref="G315"/>
    <hyperlink r:id="rId328" ref="H315"/>
    <hyperlink r:id="rId329" ref="G316"/>
    <hyperlink r:id="rId330" ref="H316"/>
    <hyperlink r:id="rId331" ref="G317"/>
    <hyperlink r:id="rId332" ref="G318"/>
    <hyperlink r:id="rId333" ref="C320"/>
    <hyperlink r:id="rId334" ref="G320"/>
    <hyperlink r:id="rId335" ref="H320"/>
    <hyperlink r:id="rId336" ref="G321"/>
    <hyperlink r:id="rId337" ref="C322"/>
    <hyperlink r:id="rId338" ref="G322"/>
    <hyperlink r:id="rId339" ref="C323"/>
    <hyperlink r:id="rId340" ref="G323"/>
    <hyperlink r:id="rId341" ref="G324"/>
    <hyperlink r:id="rId342" ref="G325"/>
    <hyperlink r:id="rId343" ref="H325"/>
    <hyperlink r:id="rId344" ref="G326"/>
    <hyperlink r:id="rId345" ref="G327"/>
    <hyperlink r:id="rId346" ref="H327"/>
    <hyperlink r:id="rId347" ref="G328"/>
    <hyperlink r:id="rId348" ref="G329"/>
    <hyperlink r:id="rId349" ref="H329"/>
    <hyperlink r:id="rId350" ref="G330"/>
    <hyperlink r:id="rId351" ref="G331"/>
    <hyperlink r:id="rId352" ref="G332"/>
    <hyperlink r:id="rId353" ref="G334"/>
    <hyperlink r:id="rId354" location="ftag=RSSbaffb68" ref="G335"/>
    <hyperlink r:id="rId355" location="link=%7B%22role%22:%22standard%22,%22href%22:%22https://www.hbs.edu/%22,%22target%22:%22_blank%22,%22absolute%22:%22%22,%22linkText%22:%22Harvard%20Business%20School%22%7D" ref="N335"/>
    <hyperlink r:id="rId356" ref="G336"/>
    <hyperlink r:id="rId357" ref="H336"/>
    <hyperlink r:id="rId358" ref="G337"/>
    <hyperlink r:id="rId359" ref="G338"/>
    <hyperlink r:id="rId360" ref="G339"/>
    <hyperlink r:id="rId361" ref="G340"/>
    <hyperlink r:id="rId362" ref="G341"/>
    <hyperlink r:id="rId363" ref="G342"/>
    <hyperlink r:id="rId364" ref="G343"/>
    <hyperlink r:id="rId365" ref="G344"/>
    <hyperlink r:id="rId366" ref="G345"/>
    <hyperlink r:id="rId367" ref="G346"/>
    <hyperlink r:id="rId368" ref="G347"/>
    <hyperlink r:id="rId369" ref="G349"/>
    <hyperlink r:id="rId370" ref="G350"/>
    <hyperlink r:id="rId371" ref="G351"/>
    <hyperlink r:id="rId372" ref="F352"/>
    <hyperlink r:id="rId373" ref="G352"/>
    <hyperlink r:id="rId374" ref="G353"/>
    <hyperlink r:id="rId375" ref="H353"/>
    <hyperlink r:id="rId376" ref="G355"/>
    <hyperlink r:id="rId377" ref="G356"/>
    <hyperlink r:id="rId378" ref="G357"/>
    <hyperlink r:id="rId379" ref="G358"/>
    <hyperlink r:id="rId380" ref="G359"/>
    <hyperlink r:id="rId381" ref="G360"/>
    <hyperlink r:id="rId382" ref="G361"/>
    <hyperlink r:id="rId383" ref="G362"/>
    <hyperlink r:id="rId384" ref="H362"/>
    <hyperlink r:id="rId385" ref="G363"/>
    <hyperlink r:id="rId386" ref="G364"/>
    <hyperlink r:id="rId387" ref="G365"/>
    <hyperlink r:id="rId388" ref="G366"/>
    <hyperlink r:id="rId389" ref="G368"/>
    <hyperlink r:id="rId390" ref="H368"/>
    <hyperlink r:id="rId391" ref="G369"/>
    <hyperlink r:id="rId392" ref="G370"/>
    <hyperlink r:id="rId393" ref="G371"/>
    <hyperlink r:id="rId394" ref="G372"/>
    <hyperlink r:id="rId395" ref="G373"/>
    <hyperlink r:id="rId396" location="ftag=RSSbaffb68" ref="G374"/>
    <hyperlink r:id="rId397" ref="G375"/>
    <hyperlink r:id="rId398" ref="G376"/>
    <hyperlink r:id="rId399" location="ftag=RSSbaffb68" ref="G377"/>
    <hyperlink r:id="rId400" ref="G378"/>
    <hyperlink r:id="rId401" ref="G379"/>
    <hyperlink r:id="rId402" ref="G380"/>
    <hyperlink r:id="rId403" ref="G381"/>
    <hyperlink r:id="rId404" ref="G382"/>
    <hyperlink r:id="rId405" ref="G383"/>
    <hyperlink r:id="rId406" ref="G384"/>
    <hyperlink r:id="rId407" ref="G385"/>
    <hyperlink r:id="rId408" ref="G386"/>
    <hyperlink r:id="rId409" ref="G387"/>
    <hyperlink r:id="rId410" ref="G388"/>
    <hyperlink r:id="rId411" ref="C389"/>
    <hyperlink r:id="rId412" ref="G389"/>
    <hyperlink r:id="rId413" ref="G390"/>
    <hyperlink r:id="rId414" ref="H390"/>
    <hyperlink r:id="rId415" ref="C391"/>
    <hyperlink r:id="rId416" ref="G391"/>
    <hyperlink r:id="rId417" ref="G392"/>
    <hyperlink r:id="rId418" ref="G393"/>
    <hyperlink r:id="rId419" ref="G394"/>
    <hyperlink r:id="rId420" ref="G395"/>
    <hyperlink r:id="rId421" ref="C396"/>
    <hyperlink r:id="rId422" ref="G396"/>
    <hyperlink r:id="rId423" ref="G398"/>
    <hyperlink r:id="rId424" ref="G399"/>
    <hyperlink r:id="rId425" ref="G400"/>
    <hyperlink r:id="rId426" ref="G401"/>
    <hyperlink r:id="rId427" ref="C402"/>
    <hyperlink r:id="rId428" ref="G402"/>
    <hyperlink r:id="rId429" ref="G403"/>
    <hyperlink r:id="rId430" ref="D404"/>
    <hyperlink r:id="rId431" ref="G404"/>
    <hyperlink r:id="rId432" ref="D405"/>
    <hyperlink r:id="rId433" ref="G405"/>
    <hyperlink r:id="rId434" ref="G406"/>
    <hyperlink r:id="rId435" ref="G407"/>
    <hyperlink r:id="rId436" ref="G408"/>
    <hyperlink r:id="rId437" ref="G409"/>
    <hyperlink r:id="rId438" ref="G410"/>
    <hyperlink r:id="rId439" ref="G411"/>
    <hyperlink r:id="rId440" ref="G412"/>
    <hyperlink r:id="rId441" ref="H412"/>
    <hyperlink r:id="rId442" ref="G413"/>
    <hyperlink r:id="rId443" ref="G414"/>
    <hyperlink r:id="rId444" ref="G415"/>
    <hyperlink r:id="rId445" ref="G416"/>
    <hyperlink r:id="rId446" ref="G418"/>
    <hyperlink r:id="rId447" ref="H418"/>
    <hyperlink r:id="rId448" ref="G419"/>
    <hyperlink r:id="rId449" ref="H419"/>
    <hyperlink r:id="rId450" ref="G420"/>
    <hyperlink r:id="rId451" ref="G421"/>
    <hyperlink r:id="rId452" ref="H421"/>
    <hyperlink r:id="rId453" ref="G422"/>
    <hyperlink r:id="rId454" ref="G423"/>
    <hyperlink r:id="rId455" ref="G424"/>
    <hyperlink r:id="rId456" ref="G425"/>
    <hyperlink r:id="rId457" ref="G426"/>
    <hyperlink r:id="rId458" ref="G427"/>
    <hyperlink r:id="rId459" ref="G429"/>
    <hyperlink display="Amos: #445" location="'新聞活動 (週更新)'!445:445" ref="N429"/>
    <hyperlink r:id="rId460" ref="G430"/>
    <hyperlink r:id="rId461" ref="G431"/>
    <hyperlink r:id="rId462" ref="G432"/>
    <hyperlink r:id="rId463" ref="G433"/>
    <hyperlink display="Amos：Android 上所顯現的 vendor-lockin 問題？&#10;可與 #440 配合分享？" location="'新聞活動 (週更新)'!440:440" ref="N433"/>
    <hyperlink r:id="rId464" ref="G434"/>
    <hyperlink r:id="rId465" ref="G435"/>
    <hyperlink r:id="rId466" ref="G436"/>
    <hyperlink r:id="rId467" ref="H436"/>
    <hyperlink r:id="rId468" ref="G437"/>
    <hyperlink r:id="rId469" location="ftag=RSSbaffb68" ref="G438"/>
    <hyperlink r:id="rId470" ref="G439"/>
    <hyperlink r:id="rId471" ref="H439"/>
    <hyperlink r:id="rId472" ref="G440"/>
    <hyperlink display="Amos：#433 文章的作者提議可以趁這波推動大家使用 F-droid" location="'新聞活動 (週更新)'!433:433" ref="N440"/>
    <hyperlink r:id="rId473" location="ftag=RSSbaffb68" ref="G441"/>
    <hyperlink r:id="rId474" ref="G442"/>
    <hyperlink r:id="rId475" ref="G443"/>
    <hyperlink r:id="rId476" ref="G444"/>
    <hyperlink r:id="rId477" ref="F445"/>
    <hyperlink r:id="rId478" ref="G445"/>
    <hyperlink r:id="rId479" ref="G447"/>
    <hyperlink r:id="rId480" ref="G448"/>
    <hyperlink r:id="rId481" ref="G449"/>
    <hyperlink r:id="rId482" ref="H449"/>
    <hyperlink r:id="rId483" ref="G450"/>
    <hyperlink r:id="rId484" ref="G451"/>
    <hyperlink r:id="rId485" ref="G452"/>
    <hyperlink r:id="rId486" ref="G453"/>
    <hyperlink r:id="rId487" ref="G454"/>
    <hyperlink r:id="rId488" ref="G455"/>
    <hyperlink r:id="rId489" ref="G456"/>
    <hyperlink r:id="rId490" ref="G458"/>
    <hyperlink r:id="rId491" ref="G459"/>
    <hyperlink r:id="rId492" ref="C460"/>
    <hyperlink r:id="rId493" ref="G460"/>
    <hyperlink r:id="rId494" ref="G461"/>
    <hyperlink r:id="rId495" ref="G462"/>
    <hyperlink r:id="rId496" ref="G463"/>
    <hyperlink r:id="rId497" ref="H463"/>
    <hyperlink r:id="rId498" ref="G464"/>
    <hyperlink r:id="rId499" ref="G465"/>
    <hyperlink r:id="rId500" ref="G466"/>
    <hyperlink r:id="rId501" ref="G467"/>
    <hyperlink r:id="rId502" ref="G468"/>
    <hyperlink r:id="rId503" ref="G469"/>
    <hyperlink r:id="rId504" ref="G470"/>
    <hyperlink r:id="rId505" ref="G471"/>
    <hyperlink r:id="rId506" ref="G472"/>
    <hyperlink r:id="rId507" ref="G473"/>
    <hyperlink r:id="rId508" ref="G474"/>
    <hyperlink r:id="rId509" ref="H474"/>
    <hyperlink r:id="rId510" ref="G475"/>
    <hyperlink r:id="rId511" ref="G476"/>
    <hyperlink r:id="rId512" ref="G477"/>
    <hyperlink r:id="rId513" ref="G478"/>
    <hyperlink r:id="rId514" ref="G479"/>
    <hyperlink r:id="rId515" ref="G481"/>
    <hyperlink r:id="rId516" ref="G482"/>
    <hyperlink r:id="rId517" ref="G483"/>
    <hyperlink r:id="rId518" ref="C484"/>
    <hyperlink r:id="rId519" ref="G484"/>
    <hyperlink r:id="rId520" ref="G485"/>
    <hyperlink r:id="rId521" ref="G486"/>
    <hyperlink r:id="rId522" ref="H486"/>
    <hyperlink r:id="rId523" ref="G487"/>
    <hyperlink r:id="rId524" ref="G488"/>
    <hyperlink r:id="rId525" ref="G489"/>
    <hyperlink r:id="rId526" ref="G490"/>
    <hyperlink r:id="rId527" ref="G491"/>
    <hyperlink r:id="rId528" ref="G492"/>
    <hyperlink r:id="rId529" ref="G493"/>
    <hyperlink r:id="rId530" ref="G494"/>
    <hyperlink r:id="rId531" ref="G495"/>
    <hyperlink r:id="rId532" ref="G496"/>
    <hyperlink r:id="rId533" ref="G497"/>
    <hyperlink r:id="rId534" ref="G498"/>
    <hyperlink r:id="rId535" ref="G499"/>
    <hyperlink r:id="rId536" ref="C500"/>
    <hyperlink r:id="rId537" ref="G500"/>
    <hyperlink r:id="rId538" ref="D501"/>
    <hyperlink r:id="rId539" ref="F501"/>
    <hyperlink r:id="rId540" ref="G501"/>
    <hyperlink r:id="rId541" ref="H501"/>
    <hyperlink r:id="rId542" ref="G502"/>
    <hyperlink r:id="rId543" ref="G503"/>
    <hyperlink r:id="rId544" ref="H503"/>
    <hyperlink r:id="rId545" ref="G504"/>
    <hyperlink r:id="rId546" ref="G505"/>
    <hyperlink r:id="rId547" ref="H505"/>
    <hyperlink r:id="rId548" ref="G506"/>
    <hyperlink r:id="rId549" ref="C507"/>
    <hyperlink r:id="rId550" ref="G507"/>
    <hyperlink r:id="rId551" ref="C508"/>
    <hyperlink r:id="rId552" ref="G508"/>
    <hyperlink r:id="rId553" ref="H508"/>
    <hyperlink r:id="rId554" ref="C509"/>
    <hyperlink r:id="rId555" ref="G509"/>
    <hyperlink r:id="rId556" ref="C510"/>
    <hyperlink r:id="rId557" ref="G510"/>
    <hyperlink r:id="rId558" ref="C511"/>
    <hyperlink r:id="rId559" ref="G511"/>
    <hyperlink r:id="rId560" ref="G512"/>
    <hyperlink r:id="rId561" ref="G513"/>
    <hyperlink r:id="rId562" ref="G514"/>
    <hyperlink r:id="rId563" ref="G516"/>
    <hyperlink r:id="rId564" ref="G517"/>
    <hyperlink r:id="rId565" ref="G518"/>
    <hyperlink r:id="rId566" ref="G519"/>
    <hyperlink r:id="rId567" ref="C520"/>
    <hyperlink r:id="rId568" ref="G520"/>
    <hyperlink r:id="rId569" ref="C521"/>
    <hyperlink r:id="rId570" ref="G521"/>
    <hyperlink r:id="rId571" ref="C522"/>
    <hyperlink r:id="rId572" ref="G522"/>
    <hyperlink r:id="rId573" ref="C523"/>
    <hyperlink r:id="rId574" ref="G523"/>
    <hyperlink r:id="rId575" ref="G524"/>
    <hyperlink r:id="rId576" ref="C525"/>
    <hyperlink r:id="rId577" ref="G525"/>
    <hyperlink r:id="rId578" ref="G526"/>
    <hyperlink r:id="rId579" ref="G527"/>
    <hyperlink r:id="rId580" ref="G528"/>
    <hyperlink r:id="rId581" ref="G529"/>
    <hyperlink r:id="rId582" ref="G530"/>
    <hyperlink r:id="rId583" ref="G531"/>
    <hyperlink r:id="rId584" ref="G532"/>
    <hyperlink r:id="rId585" ref="G533"/>
    <hyperlink r:id="rId586" ref="G534"/>
    <hyperlink r:id="rId587" ref="C535"/>
    <hyperlink r:id="rId588" ref="G535"/>
    <hyperlink r:id="rId589" ref="G536"/>
    <hyperlink r:id="rId590" ref="C537"/>
    <hyperlink r:id="rId591" location="google_vignette" ref="G537"/>
  </hyperlinks>
  <drawing r:id="rId592"/>
  <legacyDrawing r:id="rId5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3" t="s">
        <v>1964</v>
      </c>
      <c r="B1" s="113" t="s">
        <v>1965</v>
      </c>
      <c r="C1" s="113" t="s">
        <v>1966</v>
      </c>
    </row>
    <row r="2">
      <c r="A2" s="113" t="s">
        <v>1967</v>
      </c>
      <c r="B2" s="113" t="s">
        <v>799</v>
      </c>
      <c r="C2" s="115">
        <f>countif('新聞活動 (週更新)'!A:N,"A2")</f>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38"/>
    <col customWidth="1" min="2" max="2" width="25.88"/>
    <col customWidth="1" min="3" max="3" width="33.13"/>
    <col customWidth="1" min="4" max="4" width="24.88"/>
    <col customWidth="1" min="5" max="5" width="16.5"/>
    <col customWidth="1" min="6" max="6" width="31.88"/>
    <col customWidth="1" min="7" max="7" width="8.13"/>
  </cols>
  <sheetData>
    <row r="1">
      <c r="A1" s="113" t="s">
        <v>1968</v>
      </c>
      <c r="B1" s="113" t="s">
        <v>1969</v>
      </c>
      <c r="C1" s="111" t="s">
        <v>809</v>
      </c>
      <c r="D1" s="113" t="s">
        <v>1970</v>
      </c>
      <c r="E1" s="111" t="s">
        <v>1971</v>
      </c>
      <c r="F1" s="116" t="s">
        <v>1972</v>
      </c>
      <c r="G1" s="111" t="s">
        <v>1973</v>
      </c>
    </row>
    <row r="2">
      <c r="A2" s="113">
        <v>1.0</v>
      </c>
      <c r="B2" s="113" t="s">
        <v>1974</v>
      </c>
      <c r="C2" s="111" t="s">
        <v>1975</v>
      </c>
      <c r="D2" s="113" t="s">
        <v>150</v>
      </c>
      <c r="E2" s="111" t="s">
        <v>1976</v>
      </c>
      <c r="F2" s="117" t="s">
        <v>1977</v>
      </c>
      <c r="G2" s="111"/>
    </row>
    <row r="3">
      <c r="A3" s="113">
        <v>2.0</v>
      </c>
      <c r="B3" s="94" t="s">
        <v>1978</v>
      </c>
      <c r="C3" s="111" t="s">
        <v>1979</v>
      </c>
      <c r="D3" s="113" t="s">
        <v>1980</v>
      </c>
      <c r="E3" s="111" t="s">
        <v>1981</v>
      </c>
      <c r="F3" s="118"/>
      <c r="G3" s="111"/>
    </row>
    <row r="4">
      <c r="A4" s="113">
        <v>3.0</v>
      </c>
      <c r="B4" s="113" t="s">
        <v>1982</v>
      </c>
      <c r="C4" s="111" t="s">
        <v>1983</v>
      </c>
      <c r="D4" s="113" t="s">
        <v>1984</v>
      </c>
      <c r="E4" s="111" t="s">
        <v>1985</v>
      </c>
      <c r="F4" s="119" t="s">
        <v>1986</v>
      </c>
      <c r="G4" s="111"/>
    </row>
    <row r="5">
      <c r="A5" s="113">
        <v>4.0</v>
      </c>
      <c r="B5" s="113" t="s">
        <v>1987</v>
      </c>
      <c r="C5" s="111" t="s">
        <v>1988</v>
      </c>
      <c r="D5" s="113" t="s">
        <v>1989</v>
      </c>
      <c r="E5" s="111" t="s">
        <v>1985</v>
      </c>
      <c r="F5" s="119" t="s">
        <v>1990</v>
      </c>
      <c r="G5" s="111"/>
    </row>
    <row r="6">
      <c r="A6" s="113">
        <v>5.0</v>
      </c>
      <c r="B6" s="113" t="s">
        <v>1991</v>
      </c>
      <c r="C6" s="111" t="s">
        <v>1992</v>
      </c>
      <c r="D6" s="113" t="s">
        <v>1989</v>
      </c>
      <c r="E6" s="111" t="s">
        <v>1985</v>
      </c>
      <c r="F6" s="119" t="s">
        <v>1993</v>
      </c>
      <c r="G6" s="111"/>
    </row>
    <row r="7">
      <c r="A7" s="113">
        <v>6.0</v>
      </c>
      <c r="B7" s="113" t="s">
        <v>1994</v>
      </c>
      <c r="C7" s="111" t="s">
        <v>1995</v>
      </c>
      <c r="D7" s="113" t="s">
        <v>150</v>
      </c>
      <c r="E7" s="120" t="s">
        <v>1996</v>
      </c>
      <c r="F7" s="121" t="s">
        <v>1997</v>
      </c>
      <c r="G7" s="111"/>
    </row>
    <row r="8">
      <c r="A8" s="113">
        <v>7.0</v>
      </c>
      <c r="B8" s="113" t="s">
        <v>1998</v>
      </c>
      <c r="C8" s="111" t="s">
        <v>1999</v>
      </c>
      <c r="D8" s="113" t="s">
        <v>150</v>
      </c>
      <c r="E8" s="120" t="s">
        <v>1996</v>
      </c>
      <c r="F8" s="121" t="s">
        <v>2000</v>
      </c>
      <c r="G8" s="111"/>
    </row>
    <row r="9">
      <c r="A9" s="113">
        <v>8.0</v>
      </c>
      <c r="B9" s="113" t="s">
        <v>2001</v>
      </c>
      <c r="C9" s="111" t="s">
        <v>2002</v>
      </c>
      <c r="D9" s="113" t="s">
        <v>2003</v>
      </c>
      <c r="E9" s="111" t="s">
        <v>2004</v>
      </c>
      <c r="F9" s="116" t="s">
        <v>2005</v>
      </c>
      <c r="G9" s="111"/>
    </row>
    <row r="10">
      <c r="A10" s="113">
        <v>9.0</v>
      </c>
      <c r="B10" s="113" t="s">
        <v>2006</v>
      </c>
      <c r="D10" s="113" t="s">
        <v>2007</v>
      </c>
      <c r="E10" s="111" t="s">
        <v>2008</v>
      </c>
      <c r="F10" s="113" t="s">
        <v>2009</v>
      </c>
    </row>
    <row r="11">
      <c r="A11" s="113">
        <v>10.0</v>
      </c>
      <c r="B11" s="113" t="s">
        <v>2010</v>
      </c>
      <c r="C11" s="111" t="s">
        <v>2011</v>
      </c>
      <c r="E11" s="111" t="s">
        <v>2012</v>
      </c>
      <c r="G11" s="111"/>
    </row>
    <row r="12">
      <c r="A12" s="113">
        <v>11.0</v>
      </c>
      <c r="B12" s="113" t="s">
        <v>2013</v>
      </c>
      <c r="C12" s="122"/>
      <c r="E12" s="122"/>
      <c r="G12" s="122"/>
    </row>
    <row r="13">
      <c r="A13" s="113">
        <v>12.0</v>
      </c>
      <c r="B13" s="94" t="s">
        <v>2014</v>
      </c>
      <c r="C13" s="111" t="s">
        <v>2015</v>
      </c>
      <c r="E13" s="122"/>
      <c r="F13" s="117" t="s">
        <v>205</v>
      </c>
      <c r="G13" s="111"/>
    </row>
    <row r="14">
      <c r="A14" s="113">
        <v>13.0</v>
      </c>
      <c r="B14" s="113" t="s">
        <v>2016</v>
      </c>
      <c r="C14" s="111" t="s">
        <v>2017</v>
      </c>
      <c r="E14" s="122"/>
      <c r="F14" s="119" t="s">
        <v>190</v>
      </c>
      <c r="G14" s="111"/>
    </row>
    <row r="15">
      <c r="A15" s="113">
        <v>14.0</v>
      </c>
      <c r="B15" s="113" t="s">
        <v>2018</v>
      </c>
      <c r="C15" s="111" t="s">
        <v>2019</v>
      </c>
      <c r="E15" s="123" t="s">
        <v>2020</v>
      </c>
      <c r="F15" s="117" t="s">
        <v>2021</v>
      </c>
      <c r="G15" s="124">
        <v>45341.0</v>
      </c>
    </row>
    <row r="16">
      <c r="A16" s="113">
        <v>15.0</v>
      </c>
      <c r="B16" s="113" t="s">
        <v>2022</v>
      </c>
      <c r="C16" s="111" t="s">
        <v>2023</v>
      </c>
      <c r="D16" s="113" t="s">
        <v>2024</v>
      </c>
      <c r="E16" s="122"/>
      <c r="F16" s="117" t="s">
        <v>486</v>
      </c>
      <c r="G16" s="125">
        <v>45372.0</v>
      </c>
    </row>
    <row r="17">
      <c r="A17" s="113">
        <v>16.0</v>
      </c>
      <c r="B17" s="113" t="s">
        <v>2025</v>
      </c>
      <c r="C17" s="111" t="s">
        <v>2026</v>
      </c>
      <c r="D17" s="113" t="s">
        <v>2027</v>
      </c>
      <c r="E17" s="122"/>
      <c r="F17" s="117" t="s">
        <v>486</v>
      </c>
      <c r="G17" s="125">
        <v>45372.0</v>
      </c>
    </row>
    <row r="18">
      <c r="A18" s="113">
        <v>17.0</v>
      </c>
      <c r="B18" s="113" t="s">
        <v>2028</v>
      </c>
      <c r="C18" s="111" t="s">
        <v>2029</v>
      </c>
      <c r="E18" s="122"/>
      <c r="F18" s="118"/>
      <c r="G18" s="122"/>
    </row>
    <row r="19">
      <c r="A19" s="113">
        <v>18.0</v>
      </c>
      <c r="B19" s="113" t="s">
        <v>2030</v>
      </c>
      <c r="C19" s="111" t="s">
        <v>2031</v>
      </c>
      <c r="E19" s="126" t="s">
        <v>2032</v>
      </c>
      <c r="F19" s="117" t="s">
        <v>2033</v>
      </c>
      <c r="G19" s="125">
        <v>45405.0</v>
      </c>
    </row>
    <row r="20">
      <c r="A20" s="113">
        <v>19.0</v>
      </c>
      <c r="B20" s="113" t="s">
        <v>2034</v>
      </c>
      <c r="C20" s="111" t="s">
        <v>2035</v>
      </c>
      <c r="E20" s="126" t="s">
        <v>2032</v>
      </c>
      <c r="F20" s="117" t="s">
        <v>2033</v>
      </c>
      <c r="G20" s="125">
        <v>45405.0</v>
      </c>
    </row>
    <row r="21">
      <c r="A21" s="113">
        <v>20.0</v>
      </c>
      <c r="B21" s="113" t="s">
        <v>2036</v>
      </c>
      <c r="C21" s="111" t="s">
        <v>2037</v>
      </c>
      <c r="E21" s="122"/>
      <c r="F21" s="117" t="s">
        <v>2038</v>
      </c>
      <c r="G21" s="125">
        <v>45405.0</v>
      </c>
    </row>
    <row r="22">
      <c r="A22" s="113">
        <v>21.0</v>
      </c>
      <c r="C22" s="122"/>
      <c r="E22" s="122"/>
      <c r="F22" s="118"/>
      <c r="G22" s="122"/>
    </row>
    <row r="23">
      <c r="A23" s="113">
        <v>22.0</v>
      </c>
      <c r="C23" s="122"/>
      <c r="E23" s="122"/>
      <c r="F23" s="118"/>
      <c r="G23" s="122"/>
    </row>
    <row r="24">
      <c r="A24" s="113">
        <v>23.0</v>
      </c>
      <c r="C24" s="122"/>
      <c r="E24" s="122"/>
      <c r="F24" s="118"/>
      <c r="G24" s="122"/>
    </row>
    <row r="25">
      <c r="A25" s="113">
        <v>24.0</v>
      </c>
      <c r="C25" s="122"/>
      <c r="E25" s="122"/>
      <c r="F25" s="118"/>
      <c r="G25" s="122"/>
    </row>
    <row r="26">
      <c r="A26" s="113">
        <v>25.0</v>
      </c>
      <c r="C26" s="122"/>
      <c r="E26" s="122"/>
      <c r="F26" s="118"/>
      <c r="G26" s="122"/>
    </row>
    <row r="27">
      <c r="A27" s="113">
        <v>26.0</v>
      </c>
      <c r="C27" s="122"/>
      <c r="E27" s="122"/>
      <c r="F27" s="118"/>
      <c r="G27" s="122"/>
    </row>
    <row r="28">
      <c r="A28" s="113">
        <v>27.0</v>
      </c>
      <c r="C28" s="122"/>
      <c r="E28" s="122"/>
      <c r="F28" s="118"/>
      <c r="G28" s="122"/>
    </row>
    <row r="29">
      <c r="A29" s="113">
        <v>28.0</v>
      </c>
      <c r="C29" s="122"/>
      <c r="E29" s="122"/>
      <c r="F29" s="118"/>
      <c r="G29" s="122"/>
    </row>
    <row r="30">
      <c r="A30" s="113">
        <v>29.0</v>
      </c>
      <c r="C30" s="122"/>
      <c r="E30" s="122"/>
      <c r="F30" s="118"/>
      <c r="G30" s="122"/>
    </row>
  </sheetData>
  <hyperlinks>
    <hyperlink r:id="rId1" ref="F2"/>
    <hyperlink r:id="rId2" ref="F4"/>
    <hyperlink r:id="rId3" ref="F5"/>
    <hyperlink r:id="rId4" ref="F6"/>
    <hyperlink r:id="rId5" location="slide=id.p" ref="F7"/>
    <hyperlink r:id="rId6" location="slide=id.p" ref="F8"/>
    <hyperlink r:id="rId7" ref="F13"/>
    <hyperlink r:id="rId8" ref="F14"/>
    <hyperlink r:id="rId9" ref="E15"/>
    <hyperlink r:id="rId10" ref="F15"/>
    <hyperlink r:id="rId11" ref="F16"/>
    <hyperlink r:id="rId12" ref="F17"/>
    <hyperlink r:id="rId13" ref="F19"/>
    <hyperlink r:id="rId14" ref="F20"/>
    <hyperlink r:id="rId15" ref="F21"/>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9.25"/>
    <col customWidth="1" min="3" max="3" width="21.13"/>
    <col customWidth="1" min="4" max="4" width="12.5"/>
    <col customWidth="1" min="5" max="5" width="29.63"/>
    <col customWidth="1" min="6" max="6" width="26.63"/>
  </cols>
  <sheetData>
    <row r="1">
      <c r="A1" s="113" t="s">
        <v>1968</v>
      </c>
      <c r="B1" s="111" t="s">
        <v>1</v>
      </c>
      <c r="C1" s="111" t="s">
        <v>3</v>
      </c>
      <c r="D1" s="111" t="s">
        <v>2039</v>
      </c>
      <c r="E1" s="111" t="s">
        <v>5</v>
      </c>
      <c r="F1" s="116" t="s">
        <v>6</v>
      </c>
      <c r="G1" s="113" t="s">
        <v>2040</v>
      </c>
      <c r="H1" s="111" t="s">
        <v>13</v>
      </c>
    </row>
    <row r="2">
      <c r="A2" s="113">
        <v>1.0</v>
      </c>
      <c r="B2" s="113" t="s">
        <v>508</v>
      </c>
      <c r="C2" s="111" t="s">
        <v>2041</v>
      </c>
      <c r="D2" s="122"/>
      <c r="E2" s="122"/>
      <c r="F2" s="119" t="s">
        <v>2042</v>
      </c>
      <c r="G2" s="113" t="s">
        <v>54</v>
      </c>
      <c r="H2" s="122"/>
    </row>
    <row r="3">
      <c r="A3" s="113">
        <v>2.0</v>
      </c>
      <c r="B3" s="113" t="s">
        <v>809</v>
      </c>
      <c r="C3" s="111" t="s">
        <v>2043</v>
      </c>
      <c r="D3" s="122"/>
      <c r="E3" s="122"/>
      <c r="F3" s="119" t="s">
        <v>2044</v>
      </c>
      <c r="G3" s="113" t="s">
        <v>54</v>
      </c>
      <c r="H3" s="122"/>
    </row>
    <row r="4">
      <c r="A4" s="113">
        <v>3.0</v>
      </c>
      <c r="B4" s="113" t="s">
        <v>809</v>
      </c>
      <c r="C4" s="111" t="s">
        <v>2045</v>
      </c>
      <c r="D4" s="122"/>
      <c r="E4" s="122"/>
      <c r="F4" s="119" t="s">
        <v>2046</v>
      </c>
      <c r="G4" s="113" t="s">
        <v>54</v>
      </c>
      <c r="H4" s="122"/>
    </row>
    <row r="5">
      <c r="A5" s="113">
        <v>6.0</v>
      </c>
      <c r="B5" s="111" t="s">
        <v>529</v>
      </c>
      <c r="C5" s="111" t="s">
        <v>2047</v>
      </c>
      <c r="D5" s="122"/>
      <c r="E5" s="122"/>
      <c r="F5" s="119" t="s">
        <v>2048</v>
      </c>
      <c r="G5" s="113" t="s">
        <v>54</v>
      </c>
      <c r="H5" s="122"/>
    </row>
    <row r="6">
      <c r="A6" s="113">
        <v>7.0</v>
      </c>
      <c r="B6" s="111" t="s">
        <v>746</v>
      </c>
      <c r="C6" s="111" t="s">
        <v>2049</v>
      </c>
      <c r="D6" s="111" t="s">
        <v>2050</v>
      </c>
      <c r="E6" s="111" t="s">
        <v>2051</v>
      </c>
      <c r="F6" s="119" t="s">
        <v>2052</v>
      </c>
      <c r="G6" s="113" t="s">
        <v>54</v>
      </c>
      <c r="H6" s="122"/>
    </row>
    <row r="7">
      <c r="A7" s="113">
        <v>8.0</v>
      </c>
      <c r="B7" s="111" t="s">
        <v>529</v>
      </c>
      <c r="C7" s="111" t="s">
        <v>2053</v>
      </c>
      <c r="D7" s="122"/>
      <c r="E7" s="122"/>
      <c r="F7" s="119" t="s">
        <v>2054</v>
      </c>
      <c r="G7" s="113" t="s">
        <v>54</v>
      </c>
      <c r="H7" s="122"/>
    </row>
    <row r="8">
      <c r="A8" s="113">
        <v>9.0</v>
      </c>
      <c r="B8" s="113" t="s">
        <v>799</v>
      </c>
      <c r="C8" s="111" t="s">
        <v>2055</v>
      </c>
      <c r="D8" s="122"/>
      <c r="E8" s="122"/>
      <c r="F8" s="116" t="s">
        <v>2056</v>
      </c>
      <c r="G8" s="113" t="s">
        <v>54</v>
      </c>
      <c r="H8" s="122"/>
    </row>
    <row r="9">
      <c r="A9" s="113">
        <v>10.0</v>
      </c>
      <c r="B9" s="113" t="s">
        <v>799</v>
      </c>
      <c r="C9" s="111" t="s">
        <v>2057</v>
      </c>
      <c r="D9" s="122"/>
      <c r="E9" s="122"/>
      <c r="F9" s="116" t="s">
        <v>2058</v>
      </c>
      <c r="G9" s="113" t="s">
        <v>54</v>
      </c>
      <c r="H9" s="122"/>
    </row>
    <row r="10">
      <c r="A10" s="113">
        <v>11.0</v>
      </c>
      <c r="B10" s="111" t="s">
        <v>520</v>
      </c>
      <c r="C10" s="111" t="s">
        <v>2059</v>
      </c>
      <c r="D10" s="122"/>
      <c r="E10" s="122"/>
      <c r="F10" s="116" t="s">
        <v>2060</v>
      </c>
      <c r="G10" s="113" t="s">
        <v>54</v>
      </c>
      <c r="H10" s="122"/>
    </row>
    <row r="11">
      <c r="A11" s="113">
        <v>12.0</v>
      </c>
      <c r="B11" s="111" t="s">
        <v>599</v>
      </c>
      <c r="C11" s="111" t="s">
        <v>2061</v>
      </c>
      <c r="D11" s="122"/>
      <c r="E11" s="122"/>
      <c r="F11" s="119" t="s">
        <v>2062</v>
      </c>
      <c r="G11" s="113" t="s">
        <v>54</v>
      </c>
      <c r="H11" s="122"/>
    </row>
    <row r="12">
      <c r="A12" s="113">
        <v>13.0</v>
      </c>
      <c r="B12" s="111" t="s">
        <v>599</v>
      </c>
      <c r="C12" s="111" t="s">
        <v>2063</v>
      </c>
      <c r="D12" s="122"/>
      <c r="E12" s="122"/>
      <c r="F12" s="119" t="s">
        <v>2064</v>
      </c>
      <c r="G12" s="113" t="s">
        <v>54</v>
      </c>
      <c r="H12" s="122"/>
    </row>
    <row r="13">
      <c r="A13" s="113">
        <v>14.0</v>
      </c>
      <c r="B13" s="111" t="s">
        <v>746</v>
      </c>
      <c r="C13" s="111" t="s">
        <v>2065</v>
      </c>
      <c r="D13" s="122"/>
      <c r="E13" s="122"/>
      <c r="F13" s="116" t="s">
        <v>2066</v>
      </c>
      <c r="G13" s="113" t="s">
        <v>54</v>
      </c>
      <c r="H13" s="122"/>
    </row>
    <row r="14">
      <c r="A14" s="113">
        <v>15.0</v>
      </c>
      <c r="B14" s="111" t="s">
        <v>599</v>
      </c>
      <c r="C14" s="111" t="s">
        <v>2067</v>
      </c>
      <c r="D14" s="122"/>
      <c r="E14" s="122"/>
      <c r="F14" s="119" t="s">
        <v>2068</v>
      </c>
      <c r="G14" s="113" t="s">
        <v>54</v>
      </c>
      <c r="H14" s="122"/>
    </row>
    <row r="15">
      <c r="A15" s="113">
        <v>16.0</v>
      </c>
      <c r="B15" s="111" t="s">
        <v>599</v>
      </c>
      <c r="C15" s="111" t="s">
        <v>2069</v>
      </c>
      <c r="D15" s="122"/>
      <c r="E15" s="111" t="s">
        <v>2070</v>
      </c>
      <c r="F15" s="119" t="s">
        <v>2071</v>
      </c>
      <c r="G15" s="113" t="s">
        <v>54</v>
      </c>
      <c r="H15" s="122"/>
    </row>
    <row r="16">
      <c r="B16" s="111" t="s">
        <v>520</v>
      </c>
      <c r="C16" s="111" t="s">
        <v>2072</v>
      </c>
      <c r="D16" s="111" t="s">
        <v>2073</v>
      </c>
      <c r="E16" s="111" t="s">
        <v>2074</v>
      </c>
      <c r="F16" s="119" t="s">
        <v>2075</v>
      </c>
      <c r="G16" s="113" t="s">
        <v>2076</v>
      </c>
      <c r="H16" s="122"/>
    </row>
    <row r="17">
      <c r="B17" s="111" t="s">
        <v>746</v>
      </c>
      <c r="C17" s="111" t="s">
        <v>2077</v>
      </c>
      <c r="D17" s="111" t="s">
        <v>2078</v>
      </c>
      <c r="E17" s="111" t="s">
        <v>2079</v>
      </c>
      <c r="F17" s="119" t="s">
        <v>2080</v>
      </c>
      <c r="G17" s="113" t="s">
        <v>2076</v>
      </c>
      <c r="H17" s="111" t="s">
        <v>2081</v>
      </c>
    </row>
    <row r="18">
      <c r="B18" s="111" t="s">
        <v>529</v>
      </c>
      <c r="C18" s="111" t="s">
        <v>2082</v>
      </c>
      <c r="D18" s="111" t="s">
        <v>2083</v>
      </c>
      <c r="E18" s="111" t="s">
        <v>2084</v>
      </c>
      <c r="F18" s="119" t="s">
        <v>2085</v>
      </c>
      <c r="G18" s="113" t="s">
        <v>2076</v>
      </c>
      <c r="H18" s="122"/>
    </row>
    <row r="19">
      <c r="B19" s="111" t="s">
        <v>520</v>
      </c>
      <c r="C19" s="111" t="s">
        <v>2086</v>
      </c>
      <c r="D19" s="111" t="s">
        <v>2087</v>
      </c>
      <c r="E19" s="111" t="s">
        <v>2088</v>
      </c>
      <c r="F19" s="118"/>
      <c r="G19" s="113" t="s">
        <v>2076</v>
      </c>
      <c r="H19" s="111" t="s">
        <v>2089</v>
      </c>
    </row>
    <row r="20">
      <c r="B20" s="111" t="s">
        <v>529</v>
      </c>
      <c r="C20" s="111" t="s">
        <v>2090</v>
      </c>
      <c r="D20" s="111" t="s">
        <v>2091</v>
      </c>
      <c r="E20" s="111" t="s">
        <v>2092</v>
      </c>
      <c r="F20" s="118"/>
      <c r="G20" s="113" t="s">
        <v>2076</v>
      </c>
      <c r="H20" s="111" t="s">
        <v>2093</v>
      </c>
    </row>
    <row r="21">
      <c r="B21" s="111" t="s">
        <v>529</v>
      </c>
      <c r="C21" s="111" t="s">
        <v>2094</v>
      </c>
      <c r="D21" s="111" t="s">
        <v>2095</v>
      </c>
      <c r="E21" s="111" t="s">
        <v>2096</v>
      </c>
      <c r="F21" s="119" t="s">
        <v>2097</v>
      </c>
      <c r="G21" s="113" t="s">
        <v>2076</v>
      </c>
      <c r="H21" s="111" t="s">
        <v>2098</v>
      </c>
    </row>
    <row r="22">
      <c r="B22" s="111" t="s">
        <v>746</v>
      </c>
      <c r="C22" s="111" t="s">
        <v>2099</v>
      </c>
      <c r="D22" s="111" t="s">
        <v>2100</v>
      </c>
      <c r="E22" s="111" t="s">
        <v>2101</v>
      </c>
      <c r="F22" s="119" t="s">
        <v>2102</v>
      </c>
      <c r="G22" s="113" t="s">
        <v>2076</v>
      </c>
      <c r="H22" s="111" t="s">
        <v>2098</v>
      </c>
    </row>
    <row r="23">
      <c r="B23" s="111" t="s">
        <v>529</v>
      </c>
      <c r="C23" s="111" t="s">
        <v>2103</v>
      </c>
      <c r="D23" s="111" t="s">
        <v>2104</v>
      </c>
      <c r="E23" s="111" t="s">
        <v>2105</v>
      </c>
      <c r="F23" s="119" t="s">
        <v>2106</v>
      </c>
      <c r="G23" s="113" t="s">
        <v>2076</v>
      </c>
      <c r="H23" s="111" t="s">
        <v>2107</v>
      </c>
    </row>
    <row r="24">
      <c r="B24" s="111" t="s">
        <v>520</v>
      </c>
      <c r="C24" s="111" t="s">
        <v>2108</v>
      </c>
      <c r="D24" s="111" t="s">
        <v>2109</v>
      </c>
      <c r="E24" s="111" t="s">
        <v>2110</v>
      </c>
      <c r="F24" s="119" t="s">
        <v>2111</v>
      </c>
      <c r="G24" s="113" t="s">
        <v>2076</v>
      </c>
      <c r="H24" s="111" t="s">
        <v>2107</v>
      </c>
    </row>
    <row r="25">
      <c r="B25" s="111" t="s">
        <v>520</v>
      </c>
      <c r="C25" s="111" t="s">
        <v>2112</v>
      </c>
      <c r="D25" s="111" t="s">
        <v>2113</v>
      </c>
      <c r="E25" s="111" t="s">
        <v>2114</v>
      </c>
      <c r="F25" s="121" t="s">
        <v>2115</v>
      </c>
      <c r="G25" s="113" t="s">
        <v>2076</v>
      </c>
      <c r="H25" s="111" t="s">
        <v>2116</v>
      </c>
    </row>
    <row r="26">
      <c r="B26" s="122"/>
      <c r="C26" s="122"/>
      <c r="D26" s="122"/>
      <c r="E26" s="122"/>
      <c r="F26" s="118"/>
      <c r="H26" s="122"/>
    </row>
    <row r="27">
      <c r="B27" s="122"/>
      <c r="C27" s="122"/>
      <c r="D27" s="122"/>
      <c r="E27" s="122"/>
      <c r="F27" s="118"/>
      <c r="H27" s="122"/>
    </row>
    <row r="28">
      <c r="B28" s="122"/>
      <c r="C28" s="122"/>
      <c r="D28" s="122"/>
      <c r="E28" s="122"/>
      <c r="F28" s="118"/>
      <c r="H28" s="122"/>
    </row>
    <row r="29">
      <c r="B29" s="122"/>
      <c r="C29" s="122"/>
      <c r="D29" s="122"/>
      <c r="E29" s="122"/>
      <c r="F29" s="118"/>
      <c r="H29" s="122"/>
    </row>
    <row r="30">
      <c r="B30" s="122"/>
      <c r="C30" s="122"/>
      <c r="D30" s="122"/>
      <c r="E30" s="122"/>
      <c r="F30" s="118"/>
      <c r="H30" s="122"/>
    </row>
    <row r="31">
      <c r="B31" s="122"/>
      <c r="C31" s="122"/>
      <c r="D31" s="122"/>
      <c r="E31" s="122"/>
      <c r="F31" s="118"/>
      <c r="H31" s="122"/>
    </row>
    <row r="32">
      <c r="B32" s="122"/>
      <c r="C32" s="122"/>
      <c r="D32" s="122"/>
      <c r="E32" s="122"/>
      <c r="F32" s="118"/>
      <c r="H32" s="122"/>
    </row>
    <row r="33">
      <c r="B33" s="122"/>
      <c r="C33" s="122"/>
      <c r="D33" s="122"/>
      <c r="E33" s="122"/>
      <c r="F33" s="118"/>
      <c r="H33" s="122"/>
    </row>
    <row r="34">
      <c r="B34" s="122"/>
      <c r="C34" s="122"/>
      <c r="D34" s="122"/>
      <c r="E34" s="122"/>
      <c r="F34" s="118"/>
      <c r="H34" s="122"/>
    </row>
    <row r="35">
      <c r="B35" s="122"/>
      <c r="C35" s="122"/>
      <c r="D35" s="122"/>
      <c r="E35" s="122"/>
      <c r="F35" s="118"/>
      <c r="H35" s="122"/>
    </row>
    <row r="36">
      <c r="B36" s="122"/>
      <c r="C36" s="122"/>
      <c r="D36" s="122"/>
      <c r="E36" s="122"/>
      <c r="F36" s="118"/>
      <c r="H36" s="122"/>
    </row>
    <row r="37">
      <c r="B37" s="122"/>
      <c r="C37" s="122"/>
      <c r="D37" s="122"/>
      <c r="E37" s="122"/>
      <c r="F37" s="118"/>
      <c r="H37" s="122"/>
    </row>
    <row r="38">
      <c r="B38" s="122"/>
      <c r="C38" s="122"/>
      <c r="D38" s="122"/>
      <c r="E38" s="122"/>
      <c r="F38" s="118"/>
      <c r="H38" s="122"/>
    </row>
    <row r="39">
      <c r="B39" s="122"/>
      <c r="C39" s="122"/>
      <c r="D39" s="122"/>
      <c r="E39" s="122"/>
      <c r="F39" s="118"/>
      <c r="H39" s="122"/>
    </row>
    <row r="40">
      <c r="B40" s="122"/>
      <c r="C40" s="122"/>
      <c r="D40" s="122"/>
      <c r="E40" s="122"/>
      <c r="F40" s="118"/>
      <c r="H40" s="122"/>
    </row>
    <row r="41">
      <c r="B41" s="122"/>
      <c r="C41" s="122"/>
      <c r="D41" s="122"/>
      <c r="E41" s="122"/>
      <c r="F41" s="118"/>
      <c r="H41" s="122"/>
    </row>
    <row r="42">
      <c r="B42" s="122"/>
      <c r="C42" s="122"/>
      <c r="D42" s="122"/>
      <c r="E42" s="122"/>
      <c r="F42" s="118"/>
      <c r="H42" s="122"/>
    </row>
    <row r="43">
      <c r="B43" s="122"/>
      <c r="C43" s="122"/>
      <c r="D43" s="122"/>
      <c r="E43" s="122"/>
      <c r="F43" s="118"/>
      <c r="H43" s="122"/>
    </row>
    <row r="44">
      <c r="B44" s="122"/>
      <c r="C44" s="122"/>
      <c r="D44" s="122"/>
      <c r="E44" s="122"/>
      <c r="F44" s="118"/>
      <c r="H44" s="122"/>
    </row>
    <row r="45">
      <c r="B45" s="122"/>
      <c r="C45" s="122"/>
      <c r="D45" s="122"/>
      <c r="E45" s="122"/>
      <c r="F45" s="118"/>
      <c r="H45" s="122"/>
    </row>
    <row r="46">
      <c r="B46" s="122"/>
      <c r="C46" s="122"/>
      <c r="D46" s="122"/>
      <c r="E46" s="122"/>
      <c r="F46" s="118"/>
      <c r="H46" s="122"/>
    </row>
    <row r="47">
      <c r="B47" s="122"/>
      <c r="C47" s="122"/>
      <c r="D47" s="122"/>
      <c r="E47" s="122"/>
      <c r="F47" s="118"/>
      <c r="H47" s="122"/>
    </row>
    <row r="48">
      <c r="B48" s="122"/>
      <c r="C48" s="122"/>
      <c r="D48" s="122"/>
      <c r="E48" s="122"/>
      <c r="F48" s="118"/>
      <c r="H48" s="122"/>
    </row>
    <row r="49">
      <c r="B49" s="122"/>
      <c r="C49" s="122"/>
      <c r="D49" s="122"/>
      <c r="E49" s="122"/>
      <c r="F49" s="118"/>
      <c r="H49" s="122"/>
    </row>
    <row r="50">
      <c r="B50" s="122"/>
      <c r="C50" s="122"/>
      <c r="D50" s="122"/>
      <c r="E50" s="122"/>
      <c r="F50" s="118"/>
      <c r="H50" s="122"/>
    </row>
    <row r="51">
      <c r="B51" s="122"/>
      <c r="C51" s="122"/>
      <c r="D51" s="122"/>
      <c r="E51" s="122"/>
      <c r="F51" s="118"/>
      <c r="H51" s="122"/>
    </row>
    <row r="52">
      <c r="B52" s="122"/>
      <c r="C52" s="122"/>
      <c r="D52" s="122"/>
      <c r="E52" s="122"/>
      <c r="F52" s="118"/>
      <c r="H52" s="122"/>
    </row>
    <row r="53">
      <c r="B53" s="122"/>
      <c r="C53" s="122"/>
      <c r="D53" s="122"/>
      <c r="E53" s="122"/>
      <c r="F53" s="118"/>
      <c r="H53" s="122"/>
    </row>
    <row r="54">
      <c r="B54" s="122"/>
      <c r="C54" s="122"/>
      <c r="D54" s="122"/>
      <c r="E54" s="122"/>
      <c r="F54" s="118"/>
      <c r="H54" s="122"/>
    </row>
    <row r="55">
      <c r="B55" s="122"/>
      <c r="C55" s="122"/>
      <c r="D55" s="122"/>
      <c r="E55" s="122"/>
      <c r="F55" s="118"/>
      <c r="H55" s="122"/>
    </row>
    <row r="56">
      <c r="B56" s="122"/>
      <c r="C56" s="122"/>
      <c r="D56" s="122"/>
      <c r="E56" s="122"/>
      <c r="F56" s="118"/>
      <c r="H56" s="122"/>
    </row>
    <row r="57">
      <c r="B57" s="122"/>
      <c r="C57" s="122"/>
      <c r="D57" s="122"/>
      <c r="E57" s="122"/>
      <c r="F57" s="118"/>
      <c r="H57" s="122"/>
    </row>
    <row r="58">
      <c r="B58" s="122"/>
      <c r="C58" s="122"/>
      <c r="D58" s="122"/>
      <c r="E58" s="122"/>
      <c r="F58" s="118"/>
      <c r="H58" s="122"/>
    </row>
    <row r="59">
      <c r="B59" s="122"/>
      <c r="C59" s="122"/>
      <c r="D59" s="122"/>
      <c r="E59" s="122"/>
      <c r="F59" s="118"/>
      <c r="H59" s="122"/>
    </row>
    <row r="60">
      <c r="B60" s="122"/>
      <c r="C60" s="122"/>
      <c r="D60" s="122"/>
      <c r="E60" s="122"/>
      <c r="F60" s="118"/>
      <c r="H60" s="122"/>
    </row>
    <row r="61">
      <c r="B61" s="122"/>
      <c r="C61" s="122"/>
      <c r="D61" s="122"/>
      <c r="E61" s="122"/>
      <c r="F61" s="118"/>
      <c r="H61" s="122"/>
    </row>
    <row r="62">
      <c r="B62" s="122"/>
      <c r="C62" s="122"/>
      <c r="D62" s="122"/>
      <c r="E62" s="122"/>
      <c r="F62" s="118"/>
      <c r="H62" s="122"/>
    </row>
    <row r="63">
      <c r="B63" s="122"/>
      <c r="C63" s="122"/>
      <c r="D63" s="122"/>
      <c r="E63" s="122"/>
      <c r="F63" s="118"/>
      <c r="H63" s="122"/>
    </row>
    <row r="64">
      <c r="B64" s="122"/>
      <c r="C64" s="122"/>
      <c r="D64" s="122"/>
      <c r="E64" s="122"/>
      <c r="F64" s="118"/>
      <c r="H64" s="122"/>
    </row>
    <row r="65">
      <c r="B65" s="122"/>
      <c r="C65" s="122"/>
      <c r="D65" s="122"/>
      <c r="E65" s="122"/>
      <c r="F65" s="118"/>
      <c r="H65" s="122"/>
    </row>
    <row r="66">
      <c r="B66" s="122"/>
      <c r="C66" s="122"/>
      <c r="D66" s="122"/>
      <c r="E66" s="122"/>
      <c r="F66" s="118"/>
      <c r="H66" s="122"/>
    </row>
    <row r="67">
      <c r="B67" s="122"/>
      <c r="C67" s="122"/>
      <c r="D67" s="122"/>
      <c r="E67" s="122"/>
      <c r="F67" s="118"/>
      <c r="H67" s="122"/>
    </row>
    <row r="68">
      <c r="B68" s="122"/>
      <c r="C68" s="122"/>
      <c r="D68" s="122"/>
      <c r="E68" s="122"/>
      <c r="F68" s="118"/>
      <c r="H68" s="122"/>
    </row>
    <row r="69">
      <c r="B69" s="122"/>
      <c r="C69" s="122"/>
      <c r="D69" s="122"/>
      <c r="E69" s="122"/>
      <c r="F69" s="118"/>
      <c r="H69" s="122"/>
    </row>
    <row r="70">
      <c r="B70" s="122"/>
      <c r="C70" s="122"/>
      <c r="D70" s="122"/>
      <c r="E70" s="122"/>
      <c r="F70" s="118"/>
      <c r="H70" s="122"/>
    </row>
    <row r="71">
      <c r="B71" s="122"/>
      <c r="C71" s="122"/>
      <c r="D71" s="122"/>
      <c r="E71" s="122"/>
      <c r="F71" s="118"/>
      <c r="H71" s="122"/>
    </row>
    <row r="72">
      <c r="B72" s="122"/>
      <c r="C72" s="122"/>
      <c r="D72" s="122"/>
      <c r="E72" s="122"/>
      <c r="F72" s="118"/>
      <c r="H72" s="122"/>
    </row>
    <row r="73">
      <c r="B73" s="122"/>
      <c r="C73" s="122"/>
      <c r="D73" s="122"/>
      <c r="E73" s="122"/>
      <c r="F73" s="118"/>
      <c r="H73" s="122"/>
    </row>
    <row r="74">
      <c r="B74" s="122"/>
      <c r="C74" s="122"/>
      <c r="D74" s="122"/>
      <c r="E74" s="122"/>
      <c r="F74" s="118"/>
      <c r="H74" s="122"/>
    </row>
    <row r="75">
      <c r="B75" s="122"/>
      <c r="C75" s="122"/>
      <c r="D75" s="122"/>
      <c r="E75" s="122"/>
      <c r="F75" s="118"/>
      <c r="H75" s="122"/>
    </row>
    <row r="76">
      <c r="B76" s="122"/>
      <c r="C76" s="122"/>
      <c r="D76" s="122"/>
      <c r="E76" s="122"/>
      <c r="F76" s="118"/>
      <c r="H76" s="122"/>
    </row>
    <row r="77">
      <c r="B77" s="122"/>
      <c r="C77" s="122"/>
      <c r="D77" s="122"/>
      <c r="E77" s="122"/>
      <c r="F77" s="118"/>
      <c r="H77" s="122"/>
    </row>
    <row r="78">
      <c r="B78" s="122"/>
      <c r="C78" s="122"/>
      <c r="D78" s="122"/>
      <c r="E78" s="122"/>
      <c r="F78" s="118"/>
      <c r="H78" s="122"/>
    </row>
    <row r="79">
      <c r="B79" s="122"/>
      <c r="C79" s="122"/>
      <c r="D79" s="122"/>
      <c r="E79" s="122"/>
      <c r="F79" s="118"/>
      <c r="H79" s="122"/>
    </row>
    <row r="80">
      <c r="B80" s="122"/>
      <c r="C80" s="122"/>
      <c r="D80" s="122"/>
      <c r="E80" s="122"/>
      <c r="F80" s="118"/>
      <c r="H80" s="122"/>
    </row>
    <row r="81">
      <c r="B81" s="122"/>
      <c r="C81" s="122"/>
      <c r="D81" s="122"/>
      <c r="E81" s="122"/>
      <c r="F81" s="118"/>
      <c r="H81" s="122"/>
    </row>
    <row r="82">
      <c r="B82" s="122"/>
      <c r="C82" s="122"/>
      <c r="D82" s="122"/>
      <c r="E82" s="122"/>
      <c r="F82" s="118"/>
      <c r="H82" s="122"/>
    </row>
    <row r="83">
      <c r="B83" s="122"/>
      <c r="C83" s="122"/>
      <c r="D83" s="122"/>
      <c r="E83" s="122"/>
      <c r="F83" s="118"/>
      <c r="H83" s="122"/>
    </row>
    <row r="84">
      <c r="B84" s="122"/>
      <c r="C84" s="122"/>
      <c r="D84" s="122"/>
      <c r="E84" s="122"/>
      <c r="F84" s="118"/>
      <c r="H84" s="122"/>
    </row>
    <row r="85">
      <c r="B85" s="122"/>
      <c r="C85" s="122"/>
      <c r="D85" s="122"/>
      <c r="E85" s="122"/>
      <c r="F85" s="118"/>
      <c r="H85" s="122"/>
    </row>
    <row r="86">
      <c r="B86" s="122"/>
      <c r="C86" s="122"/>
      <c r="D86" s="122"/>
      <c r="E86" s="122"/>
      <c r="F86" s="118"/>
      <c r="H86" s="122"/>
    </row>
    <row r="87">
      <c r="B87" s="122"/>
      <c r="C87" s="122"/>
      <c r="D87" s="122"/>
      <c r="E87" s="122"/>
      <c r="F87" s="118"/>
      <c r="H87" s="122"/>
    </row>
    <row r="88">
      <c r="B88" s="122"/>
      <c r="C88" s="122"/>
      <c r="D88" s="122"/>
      <c r="E88" s="122"/>
      <c r="F88" s="118"/>
      <c r="H88" s="122"/>
    </row>
    <row r="89">
      <c r="B89" s="122"/>
      <c r="C89" s="122"/>
      <c r="D89" s="122"/>
      <c r="E89" s="122"/>
      <c r="F89" s="118"/>
      <c r="H89" s="122"/>
    </row>
    <row r="90">
      <c r="B90" s="122"/>
      <c r="C90" s="122"/>
      <c r="D90" s="122"/>
      <c r="E90" s="122"/>
      <c r="F90" s="118"/>
      <c r="H90" s="122"/>
    </row>
    <row r="91">
      <c r="B91" s="122"/>
      <c r="C91" s="122"/>
      <c r="D91" s="122"/>
      <c r="E91" s="122"/>
      <c r="F91" s="118"/>
      <c r="H91" s="122"/>
    </row>
    <row r="92">
      <c r="B92" s="122"/>
      <c r="C92" s="122"/>
      <c r="D92" s="122"/>
      <c r="E92" s="122"/>
      <c r="F92" s="118"/>
      <c r="H92" s="122"/>
    </row>
    <row r="93">
      <c r="B93" s="122"/>
      <c r="C93" s="122"/>
      <c r="D93" s="122"/>
      <c r="E93" s="122"/>
      <c r="F93" s="118"/>
      <c r="H93" s="122"/>
    </row>
    <row r="94">
      <c r="B94" s="122"/>
      <c r="C94" s="122"/>
      <c r="D94" s="122"/>
      <c r="E94" s="122"/>
      <c r="F94" s="118"/>
      <c r="H94" s="122"/>
    </row>
    <row r="95">
      <c r="B95" s="122"/>
      <c r="C95" s="122"/>
      <c r="D95" s="122"/>
      <c r="E95" s="122"/>
      <c r="F95" s="118"/>
      <c r="H95" s="122"/>
    </row>
    <row r="96">
      <c r="B96" s="122"/>
      <c r="C96" s="122"/>
      <c r="D96" s="122"/>
      <c r="E96" s="122"/>
      <c r="F96" s="118"/>
      <c r="H96" s="122"/>
    </row>
    <row r="97">
      <c r="B97" s="122"/>
      <c r="C97" s="122"/>
      <c r="D97" s="122"/>
      <c r="E97" s="122"/>
      <c r="F97" s="118"/>
      <c r="H97" s="122"/>
    </row>
    <row r="98">
      <c r="B98" s="122"/>
      <c r="C98" s="122"/>
      <c r="D98" s="122"/>
      <c r="E98" s="122"/>
      <c r="F98" s="118"/>
      <c r="H98" s="122"/>
    </row>
    <row r="99">
      <c r="B99" s="122"/>
      <c r="C99" s="122"/>
      <c r="D99" s="122"/>
      <c r="E99" s="122"/>
      <c r="F99" s="118"/>
      <c r="H99" s="122"/>
    </row>
    <row r="100">
      <c r="B100" s="122"/>
      <c r="C100" s="122"/>
      <c r="D100" s="122"/>
      <c r="E100" s="122"/>
      <c r="F100" s="118"/>
      <c r="H100" s="122"/>
    </row>
    <row r="101">
      <c r="B101" s="122"/>
      <c r="C101" s="122"/>
      <c r="D101" s="122"/>
      <c r="E101" s="122"/>
      <c r="F101" s="118"/>
      <c r="H101" s="122"/>
    </row>
    <row r="102">
      <c r="B102" s="122"/>
      <c r="C102" s="122"/>
      <c r="D102" s="122"/>
      <c r="E102" s="122"/>
      <c r="F102" s="118"/>
      <c r="H102" s="122"/>
    </row>
    <row r="103">
      <c r="B103" s="122"/>
      <c r="C103" s="122"/>
      <c r="D103" s="122"/>
      <c r="E103" s="122"/>
      <c r="F103" s="118"/>
      <c r="H103" s="122"/>
    </row>
    <row r="104">
      <c r="B104" s="122"/>
      <c r="C104" s="122"/>
      <c r="D104" s="122"/>
      <c r="E104" s="122"/>
      <c r="F104" s="118"/>
      <c r="H104" s="122"/>
    </row>
    <row r="105">
      <c r="B105" s="122"/>
      <c r="C105" s="122"/>
      <c r="D105" s="122"/>
      <c r="E105" s="122"/>
      <c r="F105" s="118"/>
      <c r="H105" s="122"/>
    </row>
    <row r="106">
      <c r="B106" s="122"/>
      <c r="C106" s="122"/>
      <c r="D106" s="122"/>
      <c r="E106" s="122"/>
      <c r="F106" s="118"/>
      <c r="H106" s="122"/>
    </row>
    <row r="107">
      <c r="B107" s="122"/>
      <c r="C107" s="122"/>
      <c r="D107" s="122"/>
      <c r="E107" s="122"/>
      <c r="F107" s="118"/>
      <c r="H107" s="122"/>
    </row>
    <row r="108">
      <c r="B108" s="122"/>
      <c r="C108" s="122"/>
      <c r="D108" s="122"/>
      <c r="E108" s="122"/>
      <c r="F108" s="118"/>
      <c r="H108" s="122"/>
    </row>
    <row r="109">
      <c r="B109" s="122"/>
      <c r="C109" s="122"/>
      <c r="D109" s="122"/>
      <c r="E109" s="122"/>
      <c r="F109" s="118"/>
      <c r="H109" s="122"/>
    </row>
    <row r="110">
      <c r="B110" s="122"/>
      <c r="C110" s="122"/>
      <c r="D110" s="122"/>
      <c r="E110" s="122"/>
      <c r="F110" s="118"/>
      <c r="H110" s="122"/>
    </row>
    <row r="111">
      <c r="B111" s="122"/>
      <c r="C111" s="122"/>
      <c r="D111" s="122"/>
      <c r="E111" s="122"/>
      <c r="F111" s="118"/>
      <c r="H111" s="122"/>
    </row>
    <row r="112">
      <c r="B112" s="122"/>
      <c r="C112" s="122"/>
      <c r="D112" s="122"/>
      <c r="E112" s="122"/>
      <c r="F112" s="118"/>
      <c r="H112" s="122"/>
    </row>
    <row r="113">
      <c r="B113" s="122"/>
      <c r="C113" s="122"/>
      <c r="D113" s="122"/>
      <c r="E113" s="122"/>
      <c r="F113" s="118"/>
      <c r="H113" s="122"/>
    </row>
    <row r="114">
      <c r="B114" s="122"/>
      <c r="C114" s="122"/>
      <c r="D114" s="122"/>
      <c r="E114" s="122"/>
      <c r="F114" s="118"/>
      <c r="H114" s="122"/>
    </row>
    <row r="115">
      <c r="B115" s="122"/>
      <c r="C115" s="122"/>
      <c r="D115" s="122"/>
      <c r="E115" s="122"/>
      <c r="F115" s="118"/>
      <c r="H115" s="122"/>
    </row>
    <row r="116">
      <c r="B116" s="122"/>
      <c r="C116" s="122"/>
      <c r="D116" s="122"/>
      <c r="E116" s="122"/>
      <c r="F116" s="118"/>
      <c r="H116" s="122"/>
    </row>
    <row r="117">
      <c r="B117" s="122"/>
      <c r="C117" s="122"/>
      <c r="D117" s="122"/>
      <c r="E117" s="122"/>
      <c r="F117" s="118"/>
      <c r="H117" s="122"/>
    </row>
    <row r="118">
      <c r="B118" s="122"/>
      <c r="C118" s="122"/>
      <c r="D118" s="122"/>
      <c r="E118" s="122"/>
      <c r="F118" s="118"/>
      <c r="H118" s="122"/>
    </row>
    <row r="119">
      <c r="B119" s="122"/>
      <c r="C119" s="122"/>
      <c r="D119" s="122"/>
      <c r="E119" s="122"/>
      <c r="F119" s="118"/>
      <c r="H119" s="122"/>
    </row>
    <row r="120">
      <c r="B120" s="122"/>
      <c r="C120" s="122"/>
      <c r="D120" s="122"/>
      <c r="E120" s="122"/>
      <c r="F120" s="118"/>
      <c r="H120" s="122"/>
    </row>
    <row r="121">
      <c r="B121" s="122"/>
      <c r="C121" s="122"/>
      <c r="D121" s="122"/>
      <c r="E121" s="122"/>
      <c r="F121" s="118"/>
      <c r="H121" s="122"/>
    </row>
    <row r="122">
      <c r="B122" s="122"/>
      <c r="C122" s="122"/>
      <c r="D122" s="122"/>
      <c r="E122" s="122"/>
      <c r="F122" s="118"/>
      <c r="H122" s="122"/>
    </row>
    <row r="123">
      <c r="B123" s="122"/>
      <c r="C123" s="122"/>
      <c r="D123" s="122"/>
      <c r="E123" s="122"/>
      <c r="F123" s="118"/>
      <c r="H123" s="122"/>
    </row>
    <row r="124">
      <c r="B124" s="122"/>
      <c r="C124" s="122"/>
      <c r="D124" s="122"/>
      <c r="E124" s="122"/>
      <c r="F124" s="118"/>
      <c r="H124" s="122"/>
    </row>
    <row r="125">
      <c r="B125" s="122"/>
      <c r="C125" s="122"/>
      <c r="D125" s="122"/>
      <c r="E125" s="122"/>
      <c r="F125" s="118"/>
      <c r="H125" s="122"/>
    </row>
    <row r="126">
      <c r="B126" s="122"/>
      <c r="C126" s="122"/>
      <c r="D126" s="122"/>
      <c r="E126" s="122"/>
      <c r="F126" s="118"/>
      <c r="H126" s="122"/>
    </row>
    <row r="127">
      <c r="B127" s="122"/>
      <c r="C127" s="122"/>
      <c r="D127" s="122"/>
      <c r="E127" s="122"/>
      <c r="F127" s="118"/>
      <c r="H127" s="122"/>
    </row>
    <row r="128">
      <c r="B128" s="122"/>
      <c r="C128" s="122"/>
      <c r="D128" s="122"/>
      <c r="E128" s="122"/>
      <c r="F128" s="118"/>
      <c r="H128" s="122"/>
    </row>
    <row r="129">
      <c r="B129" s="122"/>
      <c r="C129" s="122"/>
      <c r="D129" s="122"/>
      <c r="E129" s="122"/>
      <c r="F129" s="118"/>
      <c r="H129" s="122"/>
    </row>
    <row r="130">
      <c r="B130" s="122"/>
      <c r="C130" s="122"/>
      <c r="D130" s="122"/>
      <c r="E130" s="122"/>
      <c r="F130" s="118"/>
      <c r="H130" s="122"/>
    </row>
    <row r="131">
      <c r="B131" s="122"/>
      <c r="C131" s="122"/>
      <c r="D131" s="122"/>
      <c r="E131" s="122"/>
      <c r="F131" s="118"/>
      <c r="H131" s="122"/>
    </row>
    <row r="132">
      <c r="B132" s="122"/>
      <c r="C132" s="122"/>
      <c r="D132" s="122"/>
      <c r="E132" s="122"/>
      <c r="F132" s="118"/>
      <c r="H132" s="122"/>
    </row>
    <row r="133">
      <c r="B133" s="122"/>
      <c r="C133" s="122"/>
      <c r="D133" s="122"/>
      <c r="E133" s="122"/>
      <c r="F133" s="118"/>
      <c r="H133" s="122"/>
    </row>
    <row r="134">
      <c r="B134" s="122"/>
      <c r="C134" s="122"/>
      <c r="D134" s="122"/>
      <c r="E134" s="122"/>
      <c r="F134" s="118"/>
      <c r="H134" s="122"/>
    </row>
    <row r="135">
      <c r="B135" s="122"/>
      <c r="C135" s="122"/>
      <c r="D135" s="122"/>
      <c r="E135" s="122"/>
      <c r="F135" s="118"/>
      <c r="H135" s="122"/>
    </row>
    <row r="136">
      <c r="B136" s="122"/>
      <c r="C136" s="122"/>
      <c r="D136" s="122"/>
      <c r="E136" s="122"/>
      <c r="F136" s="118"/>
      <c r="H136" s="122"/>
    </row>
    <row r="137">
      <c r="B137" s="122"/>
      <c r="C137" s="122"/>
      <c r="D137" s="122"/>
      <c r="E137" s="122"/>
      <c r="F137" s="118"/>
      <c r="H137" s="122"/>
    </row>
    <row r="138">
      <c r="B138" s="122"/>
      <c r="C138" s="122"/>
      <c r="D138" s="122"/>
      <c r="E138" s="122"/>
      <c r="F138" s="118"/>
      <c r="H138" s="122"/>
    </row>
    <row r="139">
      <c r="B139" s="122"/>
      <c r="C139" s="122"/>
      <c r="D139" s="122"/>
      <c r="E139" s="122"/>
      <c r="F139" s="118"/>
      <c r="H139" s="122"/>
    </row>
    <row r="140">
      <c r="B140" s="122"/>
      <c r="C140" s="122"/>
      <c r="D140" s="122"/>
      <c r="E140" s="122"/>
      <c r="F140" s="118"/>
      <c r="H140" s="122"/>
    </row>
    <row r="141">
      <c r="B141" s="122"/>
      <c r="C141" s="122"/>
      <c r="D141" s="122"/>
      <c r="E141" s="122"/>
      <c r="F141" s="118"/>
      <c r="H141" s="122"/>
    </row>
    <row r="142">
      <c r="B142" s="122"/>
      <c r="C142" s="122"/>
      <c r="D142" s="122"/>
      <c r="E142" s="122"/>
      <c r="F142" s="118"/>
      <c r="H142" s="122"/>
    </row>
    <row r="143">
      <c r="B143" s="122"/>
      <c r="C143" s="122"/>
      <c r="D143" s="122"/>
      <c r="E143" s="122"/>
      <c r="F143" s="118"/>
      <c r="H143" s="122"/>
    </row>
    <row r="144">
      <c r="B144" s="122"/>
      <c r="C144" s="122"/>
      <c r="D144" s="122"/>
      <c r="E144" s="122"/>
      <c r="F144" s="118"/>
      <c r="H144" s="122"/>
    </row>
    <row r="145">
      <c r="B145" s="122"/>
      <c r="C145" s="122"/>
      <c r="D145" s="122"/>
      <c r="E145" s="122"/>
      <c r="F145" s="118"/>
      <c r="H145" s="122"/>
    </row>
    <row r="146">
      <c r="B146" s="122"/>
      <c r="C146" s="122"/>
      <c r="D146" s="122"/>
      <c r="E146" s="122"/>
      <c r="F146" s="118"/>
      <c r="H146" s="122"/>
    </row>
    <row r="147">
      <c r="B147" s="122"/>
      <c r="C147" s="122"/>
      <c r="D147" s="122"/>
      <c r="E147" s="122"/>
      <c r="F147" s="118"/>
      <c r="H147" s="122"/>
    </row>
    <row r="148">
      <c r="B148" s="122"/>
      <c r="C148" s="122"/>
      <c r="D148" s="122"/>
      <c r="E148" s="122"/>
      <c r="F148" s="118"/>
      <c r="H148" s="122"/>
    </row>
    <row r="149">
      <c r="B149" s="122"/>
      <c r="C149" s="122"/>
      <c r="D149" s="122"/>
      <c r="E149" s="122"/>
      <c r="F149" s="118"/>
      <c r="H149" s="122"/>
    </row>
    <row r="150">
      <c r="B150" s="122"/>
      <c r="C150" s="122"/>
      <c r="D150" s="122"/>
      <c r="E150" s="122"/>
      <c r="F150" s="118"/>
      <c r="H150" s="122"/>
    </row>
    <row r="151">
      <c r="B151" s="122"/>
      <c r="C151" s="122"/>
      <c r="D151" s="122"/>
      <c r="E151" s="122"/>
      <c r="F151" s="118"/>
      <c r="H151" s="122"/>
    </row>
    <row r="152">
      <c r="B152" s="122"/>
      <c r="C152" s="122"/>
      <c r="D152" s="122"/>
      <c r="E152" s="122"/>
      <c r="F152" s="118"/>
      <c r="H152" s="122"/>
    </row>
    <row r="153">
      <c r="B153" s="122"/>
      <c r="C153" s="122"/>
      <c r="D153" s="122"/>
      <c r="E153" s="122"/>
      <c r="F153" s="118"/>
      <c r="H153" s="122"/>
    </row>
    <row r="154">
      <c r="B154" s="122"/>
      <c r="C154" s="122"/>
      <c r="D154" s="122"/>
      <c r="E154" s="122"/>
      <c r="F154" s="118"/>
      <c r="H154" s="122"/>
    </row>
    <row r="155">
      <c r="B155" s="122"/>
      <c r="C155" s="122"/>
      <c r="D155" s="122"/>
      <c r="E155" s="122"/>
      <c r="F155" s="118"/>
      <c r="H155" s="122"/>
    </row>
    <row r="156">
      <c r="B156" s="122"/>
      <c r="C156" s="122"/>
      <c r="D156" s="122"/>
      <c r="E156" s="122"/>
      <c r="F156" s="118"/>
      <c r="H156" s="122"/>
    </row>
    <row r="157">
      <c r="B157" s="122"/>
      <c r="C157" s="122"/>
      <c r="D157" s="122"/>
      <c r="E157" s="122"/>
      <c r="F157" s="118"/>
      <c r="H157" s="122"/>
    </row>
    <row r="158">
      <c r="B158" s="122"/>
      <c r="C158" s="122"/>
      <c r="D158" s="122"/>
      <c r="E158" s="122"/>
      <c r="F158" s="118"/>
      <c r="H158" s="122"/>
    </row>
    <row r="159">
      <c r="B159" s="122"/>
      <c r="C159" s="122"/>
      <c r="D159" s="122"/>
      <c r="E159" s="122"/>
      <c r="F159" s="118"/>
      <c r="H159" s="122"/>
    </row>
    <row r="160">
      <c r="B160" s="122"/>
      <c r="C160" s="122"/>
      <c r="D160" s="122"/>
      <c r="E160" s="122"/>
      <c r="F160" s="118"/>
      <c r="H160" s="122"/>
    </row>
    <row r="161">
      <c r="B161" s="122"/>
      <c r="C161" s="122"/>
      <c r="D161" s="122"/>
      <c r="E161" s="122"/>
      <c r="F161" s="118"/>
      <c r="H161" s="122"/>
    </row>
    <row r="162">
      <c r="B162" s="122"/>
      <c r="C162" s="122"/>
      <c r="D162" s="122"/>
      <c r="E162" s="122"/>
      <c r="F162" s="118"/>
      <c r="H162" s="122"/>
    </row>
    <row r="163">
      <c r="B163" s="122"/>
      <c r="C163" s="122"/>
      <c r="D163" s="122"/>
      <c r="E163" s="122"/>
      <c r="F163" s="118"/>
      <c r="H163" s="122"/>
    </row>
    <row r="164">
      <c r="B164" s="122"/>
      <c r="C164" s="122"/>
      <c r="D164" s="122"/>
      <c r="E164" s="122"/>
      <c r="F164" s="118"/>
      <c r="H164" s="122"/>
    </row>
    <row r="165">
      <c r="B165" s="122"/>
      <c r="C165" s="122"/>
      <c r="D165" s="122"/>
      <c r="E165" s="122"/>
      <c r="F165" s="118"/>
      <c r="H165" s="122"/>
    </row>
    <row r="166">
      <c r="B166" s="122"/>
      <c r="C166" s="122"/>
      <c r="D166" s="122"/>
      <c r="E166" s="122"/>
      <c r="F166" s="118"/>
      <c r="H166" s="122"/>
    </row>
    <row r="167">
      <c r="B167" s="122"/>
      <c r="C167" s="122"/>
      <c r="D167" s="122"/>
      <c r="E167" s="122"/>
      <c r="F167" s="118"/>
      <c r="H167" s="122"/>
    </row>
    <row r="168">
      <c r="B168" s="122"/>
      <c r="C168" s="122"/>
      <c r="D168" s="122"/>
      <c r="E168" s="122"/>
      <c r="F168" s="118"/>
      <c r="H168" s="122"/>
    </row>
    <row r="169">
      <c r="B169" s="122"/>
      <c r="C169" s="122"/>
      <c r="D169" s="122"/>
      <c r="E169" s="122"/>
      <c r="F169" s="118"/>
      <c r="H169" s="122"/>
    </row>
    <row r="170">
      <c r="B170" s="122"/>
      <c r="C170" s="122"/>
      <c r="D170" s="122"/>
      <c r="E170" s="122"/>
      <c r="F170" s="118"/>
      <c r="H170" s="122"/>
    </row>
    <row r="171">
      <c r="B171" s="122"/>
      <c r="C171" s="122"/>
      <c r="D171" s="122"/>
      <c r="E171" s="122"/>
      <c r="F171" s="118"/>
      <c r="H171" s="122"/>
    </row>
    <row r="172">
      <c r="B172" s="122"/>
      <c r="C172" s="122"/>
      <c r="D172" s="122"/>
      <c r="E172" s="122"/>
      <c r="F172" s="118"/>
      <c r="H172" s="122"/>
    </row>
    <row r="173">
      <c r="B173" s="122"/>
      <c r="C173" s="122"/>
      <c r="D173" s="122"/>
      <c r="E173" s="122"/>
      <c r="F173" s="118"/>
      <c r="H173" s="122"/>
    </row>
    <row r="174">
      <c r="B174" s="122"/>
      <c r="C174" s="122"/>
      <c r="D174" s="122"/>
      <c r="E174" s="122"/>
      <c r="F174" s="118"/>
      <c r="H174" s="122"/>
    </row>
    <row r="175">
      <c r="B175" s="122"/>
      <c r="C175" s="122"/>
      <c r="D175" s="122"/>
      <c r="E175" s="122"/>
      <c r="F175" s="118"/>
      <c r="H175" s="122"/>
    </row>
    <row r="176">
      <c r="B176" s="122"/>
      <c r="C176" s="122"/>
      <c r="D176" s="122"/>
      <c r="E176" s="122"/>
      <c r="F176" s="118"/>
      <c r="H176" s="122"/>
    </row>
    <row r="177">
      <c r="B177" s="122"/>
      <c r="C177" s="122"/>
      <c r="D177" s="122"/>
      <c r="E177" s="122"/>
      <c r="F177" s="118"/>
      <c r="H177" s="122"/>
    </row>
    <row r="178">
      <c r="B178" s="122"/>
      <c r="C178" s="122"/>
      <c r="D178" s="122"/>
      <c r="E178" s="122"/>
      <c r="F178" s="118"/>
      <c r="H178" s="122"/>
    </row>
    <row r="179">
      <c r="B179" s="122"/>
      <c r="C179" s="122"/>
      <c r="D179" s="122"/>
      <c r="E179" s="122"/>
      <c r="F179" s="118"/>
      <c r="H179" s="122"/>
    </row>
    <row r="180">
      <c r="B180" s="122"/>
      <c r="C180" s="122"/>
      <c r="D180" s="122"/>
      <c r="E180" s="122"/>
      <c r="F180" s="118"/>
      <c r="H180" s="122"/>
    </row>
    <row r="181">
      <c r="B181" s="122"/>
      <c r="C181" s="122"/>
      <c r="D181" s="122"/>
      <c r="E181" s="122"/>
      <c r="F181" s="118"/>
      <c r="H181" s="122"/>
    </row>
    <row r="182">
      <c r="B182" s="122"/>
      <c r="C182" s="122"/>
      <c r="D182" s="122"/>
      <c r="E182" s="122"/>
      <c r="F182" s="118"/>
      <c r="H182" s="122"/>
    </row>
    <row r="183">
      <c r="B183" s="122"/>
      <c r="C183" s="122"/>
      <c r="D183" s="122"/>
      <c r="E183" s="122"/>
      <c r="F183" s="118"/>
      <c r="H183" s="122"/>
    </row>
    <row r="184">
      <c r="B184" s="122"/>
      <c r="C184" s="122"/>
      <c r="D184" s="122"/>
      <c r="E184" s="122"/>
      <c r="F184" s="118"/>
      <c r="H184" s="122"/>
    </row>
    <row r="185">
      <c r="B185" s="122"/>
      <c r="C185" s="122"/>
      <c r="D185" s="122"/>
      <c r="E185" s="122"/>
      <c r="F185" s="118"/>
      <c r="H185" s="122"/>
    </row>
    <row r="186">
      <c r="B186" s="122"/>
      <c r="C186" s="122"/>
      <c r="D186" s="122"/>
      <c r="E186" s="122"/>
      <c r="F186" s="118"/>
      <c r="H186" s="122"/>
    </row>
    <row r="187">
      <c r="B187" s="122"/>
      <c r="C187" s="122"/>
      <c r="D187" s="122"/>
      <c r="E187" s="122"/>
      <c r="F187" s="118"/>
      <c r="H187" s="122"/>
    </row>
    <row r="188">
      <c r="B188" s="122"/>
      <c r="C188" s="122"/>
      <c r="D188" s="122"/>
      <c r="E188" s="122"/>
      <c r="F188" s="118"/>
      <c r="H188" s="122"/>
    </row>
    <row r="189">
      <c r="B189" s="122"/>
      <c r="C189" s="122"/>
      <c r="D189" s="122"/>
      <c r="E189" s="122"/>
      <c r="F189" s="118"/>
      <c r="H189" s="122"/>
    </row>
    <row r="190">
      <c r="B190" s="122"/>
      <c r="C190" s="122"/>
      <c r="D190" s="122"/>
      <c r="E190" s="122"/>
      <c r="F190" s="118"/>
      <c r="H190" s="122"/>
    </row>
    <row r="191">
      <c r="B191" s="122"/>
      <c r="C191" s="122"/>
      <c r="D191" s="122"/>
      <c r="E191" s="122"/>
      <c r="F191" s="118"/>
      <c r="H191" s="122"/>
    </row>
    <row r="192">
      <c r="B192" s="122"/>
      <c r="C192" s="122"/>
      <c r="D192" s="122"/>
      <c r="E192" s="122"/>
      <c r="F192" s="118"/>
      <c r="H192" s="122"/>
    </row>
    <row r="193">
      <c r="B193" s="122"/>
      <c r="C193" s="122"/>
      <c r="D193" s="122"/>
      <c r="E193" s="122"/>
      <c r="F193" s="118"/>
      <c r="H193" s="122"/>
    </row>
    <row r="194">
      <c r="B194" s="122"/>
      <c r="C194" s="122"/>
      <c r="D194" s="122"/>
      <c r="E194" s="122"/>
      <c r="F194" s="118"/>
      <c r="H194" s="122"/>
    </row>
    <row r="195">
      <c r="B195" s="122"/>
      <c r="C195" s="122"/>
      <c r="D195" s="122"/>
      <c r="E195" s="122"/>
      <c r="F195" s="118"/>
      <c r="H195" s="122"/>
    </row>
    <row r="196">
      <c r="B196" s="122"/>
      <c r="C196" s="122"/>
      <c r="D196" s="122"/>
      <c r="E196" s="122"/>
      <c r="F196" s="118"/>
      <c r="H196" s="122"/>
    </row>
    <row r="197">
      <c r="B197" s="122"/>
      <c r="C197" s="122"/>
      <c r="D197" s="122"/>
      <c r="E197" s="122"/>
      <c r="F197" s="118"/>
      <c r="H197" s="122"/>
    </row>
    <row r="198">
      <c r="B198" s="122"/>
      <c r="C198" s="122"/>
      <c r="D198" s="122"/>
      <c r="E198" s="122"/>
      <c r="F198" s="118"/>
      <c r="H198" s="122"/>
    </row>
    <row r="199">
      <c r="B199" s="122"/>
      <c r="C199" s="122"/>
      <c r="D199" s="122"/>
      <c r="E199" s="122"/>
      <c r="F199" s="118"/>
      <c r="H199" s="122"/>
    </row>
    <row r="200">
      <c r="B200" s="122"/>
      <c r="C200" s="122"/>
      <c r="D200" s="122"/>
      <c r="E200" s="122"/>
      <c r="F200" s="118"/>
      <c r="H200" s="122"/>
    </row>
    <row r="201">
      <c r="B201" s="122"/>
      <c r="C201" s="122"/>
      <c r="D201" s="122"/>
      <c r="E201" s="122"/>
      <c r="F201" s="118"/>
      <c r="H201" s="122"/>
    </row>
    <row r="202">
      <c r="B202" s="122"/>
      <c r="C202" s="122"/>
      <c r="D202" s="122"/>
      <c r="E202" s="122"/>
      <c r="F202" s="118"/>
      <c r="H202" s="122"/>
    </row>
    <row r="203">
      <c r="B203" s="122"/>
      <c r="C203" s="122"/>
      <c r="D203" s="122"/>
      <c r="E203" s="122"/>
      <c r="F203" s="118"/>
      <c r="H203" s="122"/>
    </row>
    <row r="204">
      <c r="B204" s="122"/>
      <c r="C204" s="122"/>
      <c r="D204" s="122"/>
      <c r="E204" s="122"/>
      <c r="F204" s="118"/>
      <c r="H204" s="122"/>
    </row>
    <row r="205">
      <c r="B205" s="122"/>
      <c r="C205" s="122"/>
      <c r="D205" s="122"/>
      <c r="E205" s="122"/>
      <c r="F205" s="118"/>
      <c r="H205" s="122"/>
    </row>
    <row r="206">
      <c r="B206" s="122"/>
      <c r="C206" s="122"/>
      <c r="D206" s="122"/>
      <c r="E206" s="122"/>
      <c r="F206" s="118"/>
      <c r="H206" s="122"/>
    </row>
    <row r="207">
      <c r="B207" s="122"/>
      <c r="C207" s="122"/>
      <c r="D207" s="122"/>
      <c r="E207" s="122"/>
      <c r="F207" s="118"/>
      <c r="H207" s="122"/>
    </row>
    <row r="208">
      <c r="B208" s="122"/>
      <c r="C208" s="122"/>
      <c r="D208" s="122"/>
      <c r="E208" s="122"/>
      <c r="F208" s="118"/>
      <c r="H208" s="122"/>
    </row>
    <row r="209">
      <c r="B209" s="122"/>
      <c r="C209" s="122"/>
      <c r="D209" s="122"/>
      <c r="E209" s="122"/>
      <c r="F209" s="118"/>
      <c r="H209" s="122"/>
    </row>
    <row r="210">
      <c r="B210" s="122"/>
      <c r="C210" s="122"/>
      <c r="D210" s="122"/>
      <c r="E210" s="122"/>
      <c r="F210" s="118"/>
      <c r="H210" s="122"/>
    </row>
    <row r="211">
      <c r="B211" s="122"/>
      <c r="C211" s="122"/>
      <c r="D211" s="122"/>
      <c r="E211" s="122"/>
      <c r="F211" s="118"/>
      <c r="H211" s="122"/>
    </row>
    <row r="212">
      <c r="B212" s="122"/>
      <c r="C212" s="122"/>
      <c r="D212" s="122"/>
      <c r="E212" s="122"/>
      <c r="F212" s="118"/>
      <c r="H212" s="122"/>
    </row>
    <row r="213">
      <c r="B213" s="122"/>
      <c r="C213" s="122"/>
      <c r="D213" s="122"/>
      <c r="E213" s="122"/>
      <c r="F213" s="118"/>
      <c r="H213" s="122"/>
    </row>
    <row r="214">
      <c r="B214" s="122"/>
      <c r="C214" s="122"/>
      <c r="D214" s="122"/>
      <c r="E214" s="122"/>
      <c r="F214" s="118"/>
      <c r="H214" s="122"/>
    </row>
    <row r="215">
      <c r="B215" s="122"/>
      <c r="C215" s="122"/>
      <c r="D215" s="122"/>
      <c r="E215" s="122"/>
      <c r="F215" s="118"/>
      <c r="H215" s="122"/>
    </row>
    <row r="216">
      <c r="B216" s="122"/>
      <c r="C216" s="122"/>
      <c r="D216" s="122"/>
      <c r="E216" s="122"/>
      <c r="F216" s="118"/>
      <c r="H216" s="122"/>
    </row>
    <row r="217">
      <c r="B217" s="122"/>
      <c r="C217" s="122"/>
      <c r="D217" s="122"/>
      <c r="E217" s="122"/>
      <c r="F217" s="118"/>
      <c r="H217" s="122"/>
    </row>
    <row r="218">
      <c r="B218" s="122"/>
      <c r="C218" s="122"/>
      <c r="D218" s="122"/>
      <c r="E218" s="122"/>
      <c r="F218" s="118"/>
      <c r="H218" s="122"/>
    </row>
    <row r="219">
      <c r="B219" s="122"/>
      <c r="C219" s="122"/>
      <c r="D219" s="122"/>
      <c r="E219" s="122"/>
      <c r="F219" s="118"/>
      <c r="H219" s="122"/>
    </row>
    <row r="220">
      <c r="B220" s="122"/>
      <c r="C220" s="122"/>
      <c r="D220" s="122"/>
      <c r="E220" s="122"/>
      <c r="F220" s="118"/>
      <c r="H220" s="122"/>
    </row>
    <row r="221">
      <c r="B221" s="122"/>
      <c r="C221" s="122"/>
      <c r="D221" s="122"/>
      <c r="E221" s="122"/>
      <c r="F221" s="118"/>
      <c r="H221" s="122"/>
    </row>
    <row r="222">
      <c r="B222" s="122"/>
      <c r="C222" s="122"/>
      <c r="D222" s="122"/>
      <c r="E222" s="122"/>
      <c r="F222" s="118"/>
      <c r="H222" s="122"/>
    </row>
    <row r="223">
      <c r="B223" s="122"/>
      <c r="C223" s="122"/>
      <c r="D223" s="122"/>
      <c r="E223" s="122"/>
      <c r="F223" s="118"/>
      <c r="H223" s="122"/>
    </row>
    <row r="224">
      <c r="B224" s="122"/>
      <c r="C224" s="122"/>
      <c r="D224" s="122"/>
      <c r="E224" s="122"/>
      <c r="F224" s="118"/>
      <c r="H224" s="122"/>
    </row>
    <row r="225">
      <c r="B225" s="122"/>
      <c r="C225" s="122"/>
      <c r="D225" s="122"/>
      <c r="E225" s="122"/>
      <c r="F225" s="118"/>
      <c r="H225" s="122"/>
    </row>
    <row r="226">
      <c r="B226" s="122"/>
      <c r="C226" s="122"/>
      <c r="D226" s="122"/>
      <c r="E226" s="122"/>
      <c r="F226" s="118"/>
      <c r="H226" s="122"/>
    </row>
    <row r="227">
      <c r="B227" s="122"/>
      <c r="C227" s="122"/>
      <c r="D227" s="122"/>
      <c r="E227" s="122"/>
      <c r="F227" s="118"/>
      <c r="H227" s="122"/>
    </row>
    <row r="228">
      <c r="B228" s="122"/>
      <c r="C228" s="122"/>
      <c r="D228" s="122"/>
      <c r="E228" s="122"/>
      <c r="F228" s="118"/>
      <c r="H228" s="122"/>
    </row>
    <row r="229">
      <c r="B229" s="122"/>
      <c r="C229" s="122"/>
      <c r="D229" s="122"/>
      <c r="E229" s="122"/>
      <c r="F229" s="118"/>
      <c r="H229" s="122"/>
    </row>
    <row r="230">
      <c r="B230" s="122"/>
      <c r="C230" s="122"/>
      <c r="D230" s="122"/>
      <c r="E230" s="122"/>
      <c r="F230" s="118"/>
      <c r="H230" s="122"/>
    </row>
    <row r="231">
      <c r="B231" s="122"/>
      <c r="C231" s="122"/>
      <c r="D231" s="122"/>
      <c r="E231" s="122"/>
      <c r="F231" s="118"/>
      <c r="H231" s="122"/>
    </row>
    <row r="232">
      <c r="B232" s="122"/>
      <c r="C232" s="122"/>
      <c r="D232" s="122"/>
      <c r="E232" s="122"/>
      <c r="F232" s="118"/>
      <c r="H232" s="122"/>
    </row>
    <row r="233">
      <c r="B233" s="122"/>
      <c r="C233" s="122"/>
      <c r="D233" s="122"/>
      <c r="E233" s="122"/>
      <c r="F233" s="118"/>
      <c r="H233" s="122"/>
    </row>
    <row r="234">
      <c r="B234" s="122"/>
      <c r="C234" s="122"/>
      <c r="D234" s="122"/>
      <c r="E234" s="122"/>
      <c r="F234" s="118"/>
      <c r="H234" s="122"/>
    </row>
    <row r="235">
      <c r="B235" s="122"/>
      <c r="C235" s="122"/>
      <c r="D235" s="122"/>
      <c r="E235" s="122"/>
      <c r="F235" s="118"/>
      <c r="H235" s="122"/>
    </row>
    <row r="236">
      <c r="B236" s="122"/>
      <c r="C236" s="122"/>
      <c r="D236" s="122"/>
      <c r="E236" s="122"/>
      <c r="F236" s="118"/>
      <c r="H236" s="122"/>
    </row>
    <row r="237">
      <c r="B237" s="122"/>
      <c r="C237" s="122"/>
      <c r="D237" s="122"/>
      <c r="E237" s="122"/>
      <c r="F237" s="118"/>
      <c r="H237" s="122"/>
    </row>
    <row r="238">
      <c r="B238" s="122"/>
      <c r="C238" s="122"/>
      <c r="D238" s="122"/>
      <c r="E238" s="122"/>
      <c r="F238" s="118"/>
      <c r="H238" s="122"/>
    </row>
    <row r="239">
      <c r="B239" s="122"/>
      <c r="C239" s="122"/>
      <c r="D239" s="122"/>
      <c r="E239" s="122"/>
      <c r="F239" s="118"/>
      <c r="H239" s="122"/>
    </row>
    <row r="240">
      <c r="B240" s="122"/>
      <c r="C240" s="122"/>
      <c r="D240" s="122"/>
      <c r="E240" s="122"/>
      <c r="F240" s="118"/>
      <c r="H240" s="122"/>
    </row>
    <row r="241">
      <c r="B241" s="122"/>
      <c r="C241" s="122"/>
      <c r="D241" s="122"/>
      <c r="E241" s="122"/>
      <c r="F241" s="118"/>
      <c r="H241" s="122"/>
    </row>
    <row r="242">
      <c r="B242" s="122"/>
      <c r="C242" s="122"/>
      <c r="D242" s="122"/>
      <c r="E242" s="122"/>
      <c r="F242" s="118"/>
      <c r="H242" s="122"/>
    </row>
    <row r="243">
      <c r="B243" s="122"/>
      <c r="C243" s="122"/>
      <c r="D243" s="122"/>
      <c r="E243" s="122"/>
      <c r="F243" s="118"/>
      <c r="H243" s="122"/>
    </row>
    <row r="244">
      <c r="B244" s="122"/>
      <c r="C244" s="122"/>
      <c r="D244" s="122"/>
      <c r="E244" s="122"/>
      <c r="F244" s="118"/>
      <c r="H244" s="122"/>
    </row>
    <row r="245">
      <c r="B245" s="122"/>
      <c r="C245" s="122"/>
      <c r="D245" s="122"/>
      <c r="E245" s="122"/>
      <c r="F245" s="118"/>
      <c r="H245" s="122"/>
    </row>
    <row r="246">
      <c r="B246" s="122"/>
      <c r="C246" s="122"/>
      <c r="D246" s="122"/>
      <c r="E246" s="122"/>
      <c r="F246" s="118"/>
      <c r="H246" s="122"/>
    </row>
    <row r="247">
      <c r="B247" s="122"/>
      <c r="C247" s="122"/>
      <c r="D247" s="122"/>
      <c r="E247" s="122"/>
      <c r="F247" s="118"/>
      <c r="H247" s="122"/>
    </row>
    <row r="248">
      <c r="B248" s="122"/>
      <c r="C248" s="122"/>
      <c r="D248" s="122"/>
      <c r="E248" s="122"/>
      <c r="F248" s="118"/>
      <c r="H248" s="122"/>
    </row>
    <row r="249">
      <c r="B249" s="122"/>
      <c r="C249" s="122"/>
      <c r="D249" s="122"/>
      <c r="E249" s="122"/>
      <c r="F249" s="118"/>
      <c r="H249" s="122"/>
    </row>
    <row r="250">
      <c r="B250" s="122"/>
      <c r="C250" s="122"/>
      <c r="D250" s="122"/>
      <c r="E250" s="122"/>
      <c r="F250" s="118"/>
      <c r="H250" s="122"/>
    </row>
    <row r="251">
      <c r="B251" s="122"/>
      <c r="C251" s="122"/>
      <c r="D251" s="122"/>
      <c r="E251" s="122"/>
      <c r="F251" s="118"/>
      <c r="H251" s="122"/>
    </row>
    <row r="252">
      <c r="B252" s="122"/>
      <c r="C252" s="122"/>
      <c r="D252" s="122"/>
      <c r="E252" s="122"/>
      <c r="F252" s="118"/>
      <c r="H252" s="122"/>
    </row>
    <row r="253">
      <c r="B253" s="122"/>
      <c r="C253" s="122"/>
      <c r="D253" s="122"/>
      <c r="E253" s="122"/>
      <c r="F253" s="118"/>
      <c r="H253" s="122"/>
    </row>
    <row r="254">
      <c r="B254" s="122"/>
      <c r="C254" s="122"/>
      <c r="D254" s="122"/>
      <c r="E254" s="122"/>
      <c r="F254" s="118"/>
      <c r="H254" s="122"/>
    </row>
    <row r="255">
      <c r="B255" s="122"/>
      <c r="C255" s="122"/>
      <c r="D255" s="122"/>
      <c r="E255" s="122"/>
      <c r="F255" s="118"/>
      <c r="H255" s="122"/>
    </row>
    <row r="256">
      <c r="B256" s="122"/>
      <c r="C256" s="122"/>
      <c r="D256" s="122"/>
      <c r="E256" s="122"/>
      <c r="F256" s="118"/>
      <c r="H256" s="122"/>
    </row>
    <row r="257">
      <c r="B257" s="122"/>
      <c r="C257" s="122"/>
      <c r="D257" s="122"/>
      <c r="E257" s="122"/>
      <c r="F257" s="118"/>
      <c r="H257" s="122"/>
    </row>
    <row r="258">
      <c r="B258" s="122"/>
      <c r="C258" s="122"/>
      <c r="D258" s="122"/>
      <c r="E258" s="122"/>
      <c r="F258" s="118"/>
      <c r="H258" s="122"/>
    </row>
    <row r="259">
      <c r="B259" s="122"/>
      <c r="C259" s="122"/>
      <c r="D259" s="122"/>
      <c r="E259" s="122"/>
      <c r="F259" s="118"/>
      <c r="H259" s="122"/>
    </row>
    <row r="260">
      <c r="B260" s="122"/>
      <c r="C260" s="122"/>
      <c r="D260" s="122"/>
      <c r="E260" s="122"/>
      <c r="F260" s="118"/>
      <c r="H260" s="122"/>
    </row>
    <row r="261">
      <c r="B261" s="122"/>
      <c r="C261" s="122"/>
      <c r="D261" s="122"/>
      <c r="E261" s="122"/>
      <c r="F261" s="118"/>
      <c r="H261" s="122"/>
    </row>
    <row r="262">
      <c r="B262" s="122"/>
      <c r="C262" s="122"/>
      <c r="D262" s="122"/>
      <c r="E262" s="122"/>
      <c r="F262" s="118"/>
      <c r="H262" s="122"/>
    </row>
    <row r="263">
      <c r="B263" s="122"/>
      <c r="C263" s="122"/>
      <c r="D263" s="122"/>
      <c r="E263" s="122"/>
      <c r="F263" s="118"/>
      <c r="H263" s="122"/>
    </row>
    <row r="264">
      <c r="B264" s="122"/>
      <c r="C264" s="122"/>
      <c r="D264" s="122"/>
      <c r="E264" s="122"/>
      <c r="F264" s="118"/>
      <c r="H264" s="122"/>
    </row>
    <row r="265">
      <c r="B265" s="122"/>
      <c r="C265" s="122"/>
      <c r="D265" s="122"/>
      <c r="E265" s="122"/>
      <c r="F265" s="118"/>
      <c r="H265" s="122"/>
    </row>
    <row r="266">
      <c r="B266" s="122"/>
      <c r="C266" s="122"/>
      <c r="D266" s="122"/>
      <c r="E266" s="122"/>
      <c r="F266" s="118"/>
      <c r="H266" s="122"/>
    </row>
    <row r="267">
      <c r="B267" s="122"/>
      <c r="C267" s="122"/>
      <c r="D267" s="122"/>
      <c r="E267" s="122"/>
      <c r="F267" s="118"/>
      <c r="H267" s="122"/>
    </row>
    <row r="268">
      <c r="B268" s="122"/>
      <c r="C268" s="122"/>
      <c r="D268" s="122"/>
      <c r="E268" s="122"/>
      <c r="F268" s="118"/>
      <c r="H268" s="122"/>
    </row>
    <row r="269">
      <c r="B269" s="122"/>
      <c r="C269" s="122"/>
      <c r="D269" s="122"/>
      <c r="E269" s="122"/>
      <c r="F269" s="118"/>
      <c r="H269" s="122"/>
    </row>
    <row r="270">
      <c r="B270" s="122"/>
      <c r="C270" s="122"/>
      <c r="D270" s="122"/>
      <c r="E270" s="122"/>
      <c r="F270" s="118"/>
      <c r="H270" s="122"/>
    </row>
    <row r="271">
      <c r="B271" s="122"/>
      <c r="C271" s="122"/>
      <c r="D271" s="122"/>
      <c r="E271" s="122"/>
      <c r="F271" s="118"/>
      <c r="H271" s="122"/>
    </row>
    <row r="272">
      <c r="B272" s="122"/>
      <c r="C272" s="122"/>
      <c r="D272" s="122"/>
      <c r="E272" s="122"/>
      <c r="F272" s="118"/>
      <c r="H272" s="122"/>
    </row>
    <row r="273">
      <c r="B273" s="122"/>
      <c r="C273" s="122"/>
      <c r="D273" s="122"/>
      <c r="E273" s="122"/>
      <c r="F273" s="118"/>
      <c r="H273" s="122"/>
    </row>
    <row r="274">
      <c r="B274" s="122"/>
      <c r="C274" s="122"/>
      <c r="D274" s="122"/>
      <c r="E274" s="122"/>
      <c r="F274" s="118"/>
      <c r="H274" s="122"/>
    </row>
    <row r="275">
      <c r="B275" s="122"/>
      <c r="C275" s="122"/>
      <c r="D275" s="122"/>
      <c r="E275" s="122"/>
      <c r="F275" s="118"/>
      <c r="H275" s="122"/>
    </row>
    <row r="276">
      <c r="B276" s="122"/>
      <c r="C276" s="122"/>
      <c r="D276" s="122"/>
      <c r="E276" s="122"/>
      <c r="F276" s="118"/>
      <c r="H276" s="122"/>
    </row>
    <row r="277">
      <c r="B277" s="122"/>
      <c r="C277" s="122"/>
      <c r="D277" s="122"/>
      <c r="E277" s="122"/>
      <c r="F277" s="118"/>
      <c r="H277" s="122"/>
    </row>
    <row r="278">
      <c r="B278" s="122"/>
      <c r="C278" s="122"/>
      <c r="D278" s="122"/>
      <c r="E278" s="122"/>
      <c r="F278" s="118"/>
      <c r="H278" s="122"/>
    </row>
    <row r="279">
      <c r="B279" s="122"/>
      <c r="C279" s="122"/>
      <c r="D279" s="122"/>
      <c r="E279" s="122"/>
      <c r="F279" s="118"/>
      <c r="H279" s="122"/>
    </row>
    <row r="280">
      <c r="B280" s="122"/>
      <c r="C280" s="122"/>
      <c r="D280" s="122"/>
      <c r="E280" s="122"/>
      <c r="F280" s="118"/>
      <c r="H280" s="122"/>
    </row>
    <row r="281">
      <c r="B281" s="122"/>
      <c r="C281" s="122"/>
      <c r="D281" s="122"/>
      <c r="E281" s="122"/>
      <c r="F281" s="118"/>
      <c r="H281" s="122"/>
    </row>
    <row r="282">
      <c r="B282" s="122"/>
      <c r="C282" s="122"/>
      <c r="D282" s="122"/>
      <c r="E282" s="122"/>
      <c r="F282" s="118"/>
      <c r="H282" s="122"/>
    </row>
    <row r="283">
      <c r="B283" s="122"/>
      <c r="C283" s="122"/>
      <c r="D283" s="122"/>
      <c r="E283" s="122"/>
      <c r="F283" s="118"/>
      <c r="H283" s="122"/>
    </row>
    <row r="284">
      <c r="B284" s="122"/>
      <c r="C284" s="122"/>
      <c r="D284" s="122"/>
      <c r="E284" s="122"/>
      <c r="F284" s="118"/>
      <c r="H284" s="122"/>
    </row>
    <row r="285">
      <c r="B285" s="122"/>
      <c r="C285" s="122"/>
      <c r="D285" s="122"/>
      <c r="E285" s="122"/>
      <c r="F285" s="118"/>
      <c r="H285" s="122"/>
    </row>
    <row r="286">
      <c r="B286" s="122"/>
      <c r="C286" s="122"/>
      <c r="D286" s="122"/>
      <c r="E286" s="122"/>
      <c r="F286" s="118"/>
      <c r="H286" s="122"/>
    </row>
    <row r="287">
      <c r="B287" s="122"/>
      <c r="C287" s="122"/>
      <c r="D287" s="122"/>
      <c r="E287" s="122"/>
      <c r="F287" s="118"/>
      <c r="H287" s="122"/>
    </row>
    <row r="288">
      <c r="B288" s="122"/>
      <c r="C288" s="122"/>
      <c r="D288" s="122"/>
      <c r="E288" s="122"/>
      <c r="F288" s="118"/>
      <c r="H288" s="122"/>
    </row>
    <row r="289">
      <c r="B289" s="122"/>
      <c r="C289" s="122"/>
      <c r="D289" s="122"/>
      <c r="E289" s="122"/>
      <c r="F289" s="118"/>
      <c r="H289" s="122"/>
    </row>
    <row r="290">
      <c r="B290" s="122"/>
      <c r="C290" s="122"/>
      <c r="D290" s="122"/>
      <c r="E290" s="122"/>
      <c r="F290" s="118"/>
      <c r="H290" s="122"/>
    </row>
    <row r="291">
      <c r="B291" s="122"/>
      <c r="C291" s="122"/>
      <c r="D291" s="122"/>
      <c r="E291" s="122"/>
      <c r="F291" s="118"/>
      <c r="H291" s="122"/>
    </row>
    <row r="292">
      <c r="B292" s="122"/>
      <c r="C292" s="122"/>
      <c r="D292" s="122"/>
      <c r="E292" s="122"/>
      <c r="F292" s="118"/>
      <c r="H292" s="122"/>
    </row>
    <row r="293">
      <c r="B293" s="122"/>
      <c r="C293" s="122"/>
      <c r="D293" s="122"/>
      <c r="E293" s="122"/>
      <c r="F293" s="118"/>
      <c r="H293" s="122"/>
    </row>
    <row r="294">
      <c r="B294" s="122"/>
      <c r="C294" s="122"/>
      <c r="D294" s="122"/>
      <c r="E294" s="122"/>
      <c r="F294" s="118"/>
      <c r="H294" s="122"/>
    </row>
    <row r="295">
      <c r="B295" s="122"/>
      <c r="C295" s="122"/>
      <c r="D295" s="122"/>
      <c r="E295" s="122"/>
      <c r="F295" s="118"/>
      <c r="H295" s="122"/>
    </row>
    <row r="296">
      <c r="B296" s="122"/>
      <c r="C296" s="122"/>
      <c r="D296" s="122"/>
      <c r="E296" s="122"/>
      <c r="F296" s="118"/>
      <c r="H296" s="122"/>
    </row>
    <row r="297">
      <c r="B297" s="122"/>
      <c r="C297" s="122"/>
      <c r="D297" s="122"/>
      <c r="E297" s="122"/>
      <c r="F297" s="118"/>
      <c r="H297" s="122"/>
    </row>
    <row r="298">
      <c r="B298" s="122"/>
      <c r="C298" s="122"/>
      <c r="D298" s="122"/>
      <c r="E298" s="122"/>
      <c r="F298" s="118"/>
      <c r="H298" s="122"/>
    </row>
    <row r="299">
      <c r="B299" s="122"/>
      <c r="C299" s="122"/>
      <c r="D299" s="122"/>
      <c r="E299" s="122"/>
      <c r="F299" s="118"/>
      <c r="H299" s="122"/>
    </row>
    <row r="300">
      <c r="B300" s="122"/>
      <c r="C300" s="122"/>
      <c r="D300" s="122"/>
      <c r="E300" s="122"/>
      <c r="F300" s="118"/>
      <c r="H300" s="122"/>
    </row>
    <row r="301">
      <c r="B301" s="122"/>
      <c r="C301" s="122"/>
      <c r="D301" s="122"/>
      <c r="E301" s="122"/>
      <c r="F301" s="118"/>
      <c r="H301" s="122"/>
    </row>
    <row r="302">
      <c r="B302" s="122"/>
      <c r="C302" s="122"/>
      <c r="D302" s="122"/>
      <c r="E302" s="122"/>
      <c r="F302" s="118"/>
      <c r="H302" s="122"/>
    </row>
    <row r="303">
      <c r="B303" s="122"/>
      <c r="C303" s="122"/>
      <c r="D303" s="122"/>
      <c r="E303" s="122"/>
      <c r="F303" s="118"/>
      <c r="H303" s="122"/>
    </row>
    <row r="304">
      <c r="B304" s="122"/>
      <c r="C304" s="122"/>
      <c r="D304" s="122"/>
      <c r="E304" s="122"/>
      <c r="F304" s="118"/>
      <c r="H304" s="122"/>
    </row>
    <row r="305">
      <c r="B305" s="122"/>
      <c r="C305" s="122"/>
      <c r="D305" s="122"/>
      <c r="E305" s="122"/>
      <c r="F305" s="118"/>
      <c r="H305" s="122"/>
    </row>
    <row r="306">
      <c r="B306" s="122"/>
      <c r="C306" s="122"/>
      <c r="D306" s="122"/>
      <c r="E306" s="122"/>
      <c r="F306" s="118"/>
      <c r="H306" s="122"/>
    </row>
    <row r="307">
      <c r="B307" s="122"/>
      <c r="C307" s="122"/>
      <c r="D307" s="122"/>
      <c r="E307" s="122"/>
      <c r="F307" s="118"/>
      <c r="H307" s="122"/>
    </row>
    <row r="308">
      <c r="B308" s="122"/>
      <c r="C308" s="122"/>
      <c r="D308" s="122"/>
      <c r="E308" s="122"/>
      <c r="F308" s="118"/>
      <c r="H308" s="122"/>
    </row>
    <row r="309">
      <c r="B309" s="122"/>
      <c r="C309" s="122"/>
      <c r="D309" s="122"/>
      <c r="E309" s="122"/>
      <c r="F309" s="118"/>
      <c r="H309" s="122"/>
    </row>
    <row r="310">
      <c r="B310" s="122"/>
      <c r="C310" s="122"/>
      <c r="D310" s="122"/>
      <c r="E310" s="122"/>
      <c r="F310" s="118"/>
      <c r="H310" s="122"/>
    </row>
    <row r="311">
      <c r="B311" s="122"/>
      <c r="C311" s="122"/>
      <c r="D311" s="122"/>
      <c r="E311" s="122"/>
      <c r="F311" s="118"/>
      <c r="H311" s="122"/>
    </row>
    <row r="312">
      <c r="B312" s="122"/>
      <c r="C312" s="122"/>
      <c r="D312" s="122"/>
      <c r="E312" s="122"/>
      <c r="F312" s="118"/>
      <c r="H312" s="122"/>
    </row>
    <row r="313">
      <c r="B313" s="122"/>
      <c r="C313" s="122"/>
      <c r="D313" s="122"/>
      <c r="E313" s="122"/>
      <c r="F313" s="118"/>
      <c r="H313" s="122"/>
    </row>
    <row r="314">
      <c r="B314" s="122"/>
      <c r="C314" s="122"/>
      <c r="D314" s="122"/>
      <c r="E314" s="122"/>
      <c r="F314" s="118"/>
      <c r="H314" s="122"/>
    </row>
    <row r="315">
      <c r="B315" s="122"/>
      <c r="C315" s="122"/>
      <c r="D315" s="122"/>
      <c r="E315" s="122"/>
      <c r="F315" s="118"/>
      <c r="H315" s="122"/>
    </row>
    <row r="316">
      <c r="B316" s="122"/>
      <c r="C316" s="122"/>
      <c r="D316" s="122"/>
      <c r="E316" s="122"/>
      <c r="F316" s="118"/>
      <c r="H316" s="122"/>
    </row>
    <row r="317">
      <c r="B317" s="122"/>
      <c r="C317" s="122"/>
      <c r="D317" s="122"/>
      <c r="E317" s="122"/>
      <c r="F317" s="118"/>
      <c r="H317" s="122"/>
    </row>
    <row r="318">
      <c r="B318" s="122"/>
      <c r="C318" s="122"/>
      <c r="D318" s="122"/>
      <c r="E318" s="122"/>
      <c r="F318" s="118"/>
      <c r="H318" s="122"/>
    </row>
    <row r="319">
      <c r="B319" s="122"/>
      <c r="C319" s="122"/>
      <c r="D319" s="122"/>
      <c r="E319" s="122"/>
      <c r="F319" s="118"/>
      <c r="H319" s="122"/>
    </row>
    <row r="320">
      <c r="B320" s="122"/>
      <c r="C320" s="122"/>
      <c r="D320" s="122"/>
      <c r="E320" s="122"/>
      <c r="F320" s="118"/>
      <c r="H320" s="122"/>
    </row>
    <row r="321">
      <c r="B321" s="122"/>
      <c r="C321" s="122"/>
      <c r="D321" s="122"/>
      <c r="E321" s="122"/>
      <c r="F321" s="118"/>
      <c r="H321" s="122"/>
    </row>
    <row r="322">
      <c r="B322" s="122"/>
      <c r="C322" s="122"/>
      <c r="D322" s="122"/>
      <c r="E322" s="122"/>
      <c r="F322" s="118"/>
      <c r="H322" s="122"/>
    </row>
    <row r="323">
      <c r="B323" s="122"/>
      <c r="C323" s="122"/>
      <c r="D323" s="122"/>
      <c r="E323" s="122"/>
      <c r="F323" s="118"/>
      <c r="H323" s="122"/>
    </row>
    <row r="324">
      <c r="B324" s="122"/>
      <c r="C324" s="122"/>
      <c r="D324" s="122"/>
      <c r="E324" s="122"/>
      <c r="F324" s="118"/>
      <c r="H324" s="122"/>
    </row>
    <row r="325">
      <c r="B325" s="122"/>
      <c r="C325" s="122"/>
      <c r="D325" s="122"/>
      <c r="E325" s="122"/>
      <c r="F325" s="118"/>
      <c r="H325" s="122"/>
    </row>
    <row r="326">
      <c r="B326" s="122"/>
      <c r="C326" s="122"/>
      <c r="D326" s="122"/>
      <c r="E326" s="122"/>
      <c r="F326" s="118"/>
      <c r="H326" s="122"/>
    </row>
    <row r="327">
      <c r="B327" s="122"/>
      <c r="C327" s="122"/>
      <c r="D327" s="122"/>
      <c r="E327" s="122"/>
      <c r="F327" s="118"/>
      <c r="H327" s="122"/>
    </row>
    <row r="328">
      <c r="B328" s="122"/>
      <c r="C328" s="122"/>
      <c r="D328" s="122"/>
      <c r="E328" s="122"/>
      <c r="F328" s="118"/>
      <c r="H328" s="122"/>
    </row>
    <row r="329">
      <c r="B329" s="122"/>
      <c r="C329" s="122"/>
      <c r="D329" s="122"/>
      <c r="E329" s="122"/>
      <c r="F329" s="118"/>
      <c r="H329" s="122"/>
    </row>
    <row r="330">
      <c r="B330" s="122"/>
      <c r="C330" s="122"/>
      <c r="D330" s="122"/>
      <c r="E330" s="122"/>
      <c r="F330" s="118"/>
      <c r="H330" s="122"/>
    </row>
    <row r="331">
      <c r="B331" s="122"/>
      <c r="C331" s="122"/>
      <c r="D331" s="122"/>
      <c r="E331" s="122"/>
      <c r="F331" s="118"/>
      <c r="H331" s="122"/>
    </row>
    <row r="332">
      <c r="B332" s="122"/>
      <c r="C332" s="122"/>
      <c r="D332" s="122"/>
      <c r="E332" s="122"/>
      <c r="F332" s="118"/>
      <c r="H332" s="122"/>
    </row>
    <row r="333">
      <c r="B333" s="122"/>
      <c r="C333" s="122"/>
      <c r="D333" s="122"/>
      <c r="E333" s="122"/>
      <c r="F333" s="118"/>
      <c r="H333" s="122"/>
    </row>
    <row r="334">
      <c r="B334" s="122"/>
      <c r="C334" s="122"/>
      <c r="D334" s="122"/>
      <c r="E334" s="122"/>
      <c r="F334" s="118"/>
      <c r="H334" s="122"/>
    </row>
    <row r="335">
      <c r="B335" s="122"/>
      <c r="C335" s="122"/>
      <c r="D335" s="122"/>
      <c r="E335" s="122"/>
      <c r="F335" s="118"/>
      <c r="H335" s="122"/>
    </row>
    <row r="336">
      <c r="B336" s="122"/>
      <c r="C336" s="122"/>
      <c r="D336" s="122"/>
      <c r="E336" s="122"/>
      <c r="F336" s="118"/>
      <c r="H336" s="122"/>
    </row>
    <row r="337">
      <c r="B337" s="122"/>
      <c r="C337" s="122"/>
      <c r="D337" s="122"/>
      <c r="E337" s="122"/>
      <c r="F337" s="118"/>
      <c r="H337" s="122"/>
    </row>
    <row r="338">
      <c r="B338" s="122"/>
      <c r="C338" s="122"/>
      <c r="D338" s="122"/>
      <c r="E338" s="122"/>
      <c r="F338" s="118"/>
      <c r="H338" s="122"/>
    </row>
    <row r="339">
      <c r="B339" s="122"/>
      <c r="C339" s="122"/>
      <c r="D339" s="122"/>
      <c r="E339" s="122"/>
      <c r="F339" s="118"/>
      <c r="H339" s="122"/>
    </row>
    <row r="340">
      <c r="B340" s="122"/>
      <c r="C340" s="122"/>
      <c r="D340" s="122"/>
      <c r="E340" s="122"/>
      <c r="F340" s="118"/>
      <c r="H340" s="122"/>
    </row>
    <row r="341">
      <c r="B341" s="122"/>
      <c r="C341" s="122"/>
      <c r="D341" s="122"/>
      <c r="E341" s="122"/>
      <c r="F341" s="118"/>
      <c r="H341" s="122"/>
    </row>
    <row r="342">
      <c r="B342" s="122"/>
      <c r="C342" s="122"/>
      <c r="D342" s="122"/>
      <c r="E342" s="122"/>
      <c r="F342" s="118"/>
      <c r="H342" s="122"/>
    </row>
    <row r="343">
      <c r="B343" s="122"/>
      <c r="C343" s="122"/>
      <c r="D343" s="122"/>
      <c r="E343" s="122"/>
      <c r="F343" s="118"/>
      <c r="H343" s="122"/>
    </row>
    <row r="344">
      <c r="B344" s="122"/>
      <c r="C344" s="122"/>
      <c r="D344" s="122"/>
      <c r="E344" s="122"/>
      <c r="F344" s="118"/>
      <c r="H344" s="122"/>
    </row>
    <row r="345">
      <c r="B345" s="122"/>
      <c r="C345" s="122"/>
      <c r="D345" s="122"/>
      <c r="E345" s="122"/>
      <c r="F345" s="118"/>
      <c r="H345" s="122"/>
    </row>
    <row r="346">
      <c r="B346" s="122"/>
      <c r="C346" s="122"/>
      <c r="D346" s="122"/>
      <c r="E346" s="122"/>
      <c r="F346" s="118"/>
      <c r="H346" s="122"/>
    </row>
    <row r="347">
      <c r="B347" s="122"/>
      <c r="C347" s="122"/>
      <c r="D347" s="122"/>
      <c r="E347" s="122"/>
      <c r="F347" s="118"/>
      <c r="H347" s="122"/>
    </row>
    <row r="348">
      <c r="B348" s="122"/>
      <c r="C348" s="122"/>
      <c r="D348" s="122"/>
      <c r="E348" s="122"/>
      <c r="F348" s="118"/>
      <c r="H348" s="122"/>
    </row>
    <row r="349">
      <c r="B349" s="122"/>
      <c r="C349" s="122"/>
      <c r="D349" s="122"/>
      <c r="E349" s="122"/>
      <c r="F349" s="118"/>
      <c r="H349" s="122"/>
    </row>
    <row r="350">
      <c r="B350" s="122"/>
      <c r="C350" s="122"/>
      <c r="D350" s="122"/>
      <c r="E350" s="122"/>
      <c r="F350" s="118"/>
      <c r="H350" s="122"/>
    </row>
    <row r="351">
      <c r="B351" s="122"/>
      <c r="C351" s="122"/>
      <c r="D351" s="122"/>
      <c r="E351" s="122"/>
      <c r="F351" s="118"/>
      <c r="H351" s="122"/>
    </row>
    <row r="352">
      <c r="B352" s="122"/>
      <c r="C352" s="122"/>
      <c r="D352" s="122"/>
      <c r="E352" s="122"/>
      <c r="F352" s="118"/>
      <c r="H352" s="122"/>
    </row>
    <row r="353">
      <c r="B353" s="122"/>
      <c r="C353" s="122"/>
      <c r="D353" s="122"/>
      <c r="E353" s="122"/>
      <c r="F353" s="118"/>
      <c r="H353" s="122"/>
    </row>
    <row r="354">
      <c r="B354" s="122"/>
      <c r="C354" s="122"/>
      <c r="D354" s="122"/>
      <c r="E354" s="122"/>
      <c r="F354" s="118"/>
      <c r="H354" s="122"/>
    </row>
    <row r="355">
      <c r="B355" s="122"/>
      <c r="C355" s="122"/>
      <c r="D355" s="122"/>
      <c r="E355" s="122"/>
      <c r="F355" s="118"/>
      <c r="H355" s="122"/>
    </row>
    <row r="356">
      <c r="B356" s="122"/>
      <c r="C356" s="122"/>
      <c r="D356" s="122"/>
      <c r="E356" s="122"/>
      <c r="F356" s="118"/>
      <c r="H356" s="122"/>
    </row>
    <row r="357">
      <c r="B357" s="122"/>
      <c r="C357" s="122"/>
      <c r="D357" s="122"/>
      <c r="E357" s="122"/>
      <c r="F357" s="118"/>
      <c r="H357" s="122"/>
    </row>
    <row r="358">
      <c r="B358" s="122"/>
      <c r="C358" s="122"/>
      <c r="D358" s="122"/>
      <c r="E358" s="122"/>
      <c r="F358" s="118"/>
      <c r="H358" s="122"/>
    </row>
    <row r="359">
      <c r="B359" s="122"/>
      <c r="C359" s="122"/>
      <c r="D359" s="122"/>
      <c r="E359" s="122"/>
      <c r="F359" s="118"/>
      <c r="H359" s="122"/>
    </row>
    <row r="360">
      <c r="B360" s="122"/>
      <c r="C360" s="122"/>
      <c r="D360" s="122"/>
      <c r="E360" s="122"/>
      <c r="F360" s="118"/>
      <c r="H360" s="122"/>
    </row>
    <row r="361">
      <c r="B361" s="122"/>
      <c r="C361" s="122"/>
      <c r="D361" s="122"/>
      <c r="E361" s="122"/>
      <c r="F361" s="118"/>
      <c r="H361" s="122"/>
    </row>
    <row r="362">
      <c r="B362" s="122"/>
      <c r="C362" s="122"/>
      <c r="D362" s="122"/>
      <c r="E362" s="122"/>
      <c r="F362" s="118"/>
      <c r="H362" s="122"/>
    </row>
    <row r="363">
      <c r="B363" s="122"/>
      <c r="C363" s="122"/>
      <c r="D363" s="122"/>
      <c r="E363" s="122"/>
      <c r="F363" s="118"/>
      <c r="H363" s="122"/>
    </row>
    <row r="364">
      <c r="B364" s="122"/>
      <c r="C364" s="122"/>
      <c r="D364" s="122"/>
      <c r="E364" s="122"/>
      <c r="F364" s="118"/>
      <c r="H364" s="122"/>
    </row>
    <row r="365">
      <c r="B365" s="122"/>
      <c r="C365" s="122"/>
      <c r="D365" s="122"/>
      <c r="E365" s="122"/>
      <c r="F365" s="118"/>
      <c r="H365" s="122"/>
    </row>
    <row r="366">
      <c r="B366" s="122"/>
      <c r="C366" s="122"/>
      <c r="D366" s="122"/>
      <c r="E366" s="122"/>
      <c r="F366" s="118"/>
      <c r="H366" s="122"/>
    </row>
    <row r="367">
      <c r="B367" s="122"/>
      <c r="C367" s="122"/>
      <c r="D367" s="122"/>
      <c r="E367" s="122"/>
      <c r="F367" s="118"/>
      <c r="H367" s="122"/>
    </row>
    <row r="368">
      <c r="B368" s="122"/>
      <c r="C368" s="122"/>
      <c r="D368" s="122"/>
      <c r="E368" s="122"/>
      <c r="F368" s="118"/>
      <c r="H368" s="122"/>
    </row>
    <row r="369">
      <c r="B369" s="122"/>
      <c r="C369" s="122"/>
      <c r="D369" s="122"/>
      <c r="E369" s="122"/>
      <c r="F369" s="118"/>
      <c r="H369" s="122"/>
    </row>
    <row r="370">
      <c r="B370" s="122"/>
      <c r="C370" s="122"/>
      <c r="D370" s="122"/>
      <c r="E370" s="122"/>
      <c r="F370" s="118"/>
      <c r="H370" s="122"/>
    </row>
    <row r="371">
      <c r="B371" s="122"/>
      <c r="C371" s="122"/>
      <c r="D371" s="122"/>
      <c r="E371" s="122"/>
      <c r="F371" s="118"/>
      <c r="H371" s="122"/>
    </row>
    <row r="372">
      <c r="B372" s="122"/>
      <c r="C372" s="122"/>
      <c r="D372" s="122"/>
      <c r="E372" s="122"/>
      <c r="F372" s="118"/>
      <c r="H372" s="122"/>
    </row>
    <row r="373">
      <c r="B373" s="122"/>
      <c r="C373" s="122"/>
      <c r="D373" s="122"/>
      <c r="E373" s="122"/>
      <c r="F373" s="118"/>
      <c r="H373" s="122"/>
    </row>
    <row r="374">
      <c r="B374" s="122"/>
      <c r="C374" s="122"/>
      <c r="D374" s="122"/>
      <c r="E374" s="122"/>
      <c r="F374" s="118"/>
      <c r="H374" s="122"/>
    </row>
    <row r="375">
      <c r="B375" s="122"/>
      <c r="C375" s="122"/>
      <c r="D375" s="122"/>
      <c r="E375" s="122"/>
      <c r="F375" s="118"/>
      <c r="H375" s="122"/>
    </row>
    <row r="376">
      <c r="B376" s="122"/>
      <c r="C376" s="122"/>
      <c r="D376" s="122"/>
      <c r="E376" s="122"/>
      <c r="F376" s="118"/>
      <c r="H376" s="122"/>
    </row>
    <row r="377">
      <c r="B377" s="122"/>
      <c r="C377" s="122"/>
      <c r="D377" s="122"/>
      <c r="E377" s="122"/>
      <c r="F377" s="118"/>
      <c r="H377" s="122"/>
    </row>
    <row r="378">
      <c r="B378" s="122"/>
      <c r="C378" s="122"/>
      <c r="D378" s="122"/>
      <c r="E378" s="122"/>
      <c r="F378" s="118"/>
      <c r="H378" s="122"/>
    </row>
    <row r="379">
      <c r="B379" s="122"/>
      <c r="C379" s="122"/>
      <c r="D379" s="122"/>
      <c r="E379" s="122"/>
      <c r="F379" s="118"/>
      <c r="H379" s="122"/>
    </row>
    <row r="380">
      <c r="B380" s="122"/>
      <c r="C380" s="122"/>
      <c r="D380" s="122"/>
      <c r="E380" s="122"/>
      <c r="F380" s="118"/>
      <c r="H380" s="122"/>
    </row>
    <row r="381">
      <c r="B381" s="122"/>
      <c r="C381" s="122"/>
      <c r="D381" s="122"/>
      <c r="E381" s="122"/>
      <c r="F381" s="118"/>
      <c r="H381" s="122"/>
    </row>
    <row r="382">
      <c r="B382" s="122"/>
      <c r="C382" s="122"/>
      <c r="D382" s="122"/>
      <c r="E382" s="122"/>
      <c r="F382" s="118"/>
      <c r="H382" s="122"/>
    </row>
    <row r="383">
      <c r="B383" s="122"/>
      <c r="C383" s="122"/>
      <c r="D383" s="122"/>
      <c r="E383" s="122"/>
      <c r="F383" s="118"/>
      <c r="H383" s="122"/>
    </row>
    <row r="384">
      <c r="B384" s="122"/>
      <c r="C384" s="122"/>
      <c r="D384" s="122"/>
      <c r="E384" s="122"/>
      <c r="F384" s="118"/>
      <c r="H384" s="122"/>
    </row>
    <row r="385">
      <c r="B385" s="122"/>
      <c r="C385" s="122"/>
      <c r="D385" s="122"/>
      <c r="E385" s="122"/>
      <c r="F385" s="118"/>
      <c r="H385" s="122"/>
    </row>
    <row r="386">
      <c r="B386" s="122"/>
      <c r="C386" s="122"/>
      <c r="D386" s="122"/>
      <c r="E386" s="122"/>
      <c r="F386" s="118"/>
      <c r="H386" s="122"/>
    </row>
    <row r="387">
      <c r="B387" s="122"/>
      <c r="C387" s="122"/>
      <c r="D387" s="122"/>
      <c r="E387" s="122"/>
      <c r="F387" s="118"/>
      <c r="H387" s="122"/>
    </row>
    <row r="388">
      <c r="B388" s="122"/>
      <c r="C388" s="122"/>
      <c r="D388" s="122"/>
      <c r="E388" s="122"/>
      <c r="F388" s="118"/>
      <c r="H388" s="122"/>
    </row>
    <row r="389">
      <c r="B389" s="122"/>
      <c r="C389" s="122"/>
      <c r="D389" s="122"/>
      <c r="E389" s="122"/>
      <c r="F389" s="118"/>
      <c r="H389" s="122"/>
    </row>
    <row r="390">
      <c r="B390" s="122"/>
      <c r="C390" s="122"/>
      <c r="D390" s="122"/>
      <c r="E390" s="122"/>
      <c r="F390" s="118"/>
      <c r="H390" s="122"/>
    </row>
    <row r="391">
      <c r="B391" s="122"/>
      <c r="C391" s="122"/>
      <c r="D391" s="122"/>
      <c r="E391" s="122"/>
      <c r="F391" s="118"/>
      <c r="H391" s="122"/>
    </row>
    <row r="392">
      <c r="B392" s="122"/>
      <c r="C392" s="122"/>
      <c r="D392" s="122"/>
      <c r="E392" s="122"/>
      <c r="F392" s="118"/>
      <c r="H392" s="122"/>
    </row>
    <row r="393">
      <c r="B393" s="122"/>
      <c r="C393" s="122"/>
      <c r="D393" s="122"/>
      <c r="E393" s="122"/>
      <c r="F393" s="118"/>
      <c r="H393" s="122"/>
    </row>
    <row r="394">
      <c r="B394" s="122"/>
      <c r="C394" s="122"/>
      <c r="D394" s="122"/>
      <c r="E394" s="122"/>
      <c r="F394" s="118"/>
      <c r="H394" s="122"/>
    </row>
    <row r="395">
      <c r="B395" s="122"/>
      <c r="C395" s="122"/>
      <c r="D395" s="122"/>
      <c r="E395" s="122"/>
      <c r="F395" s="118"/>
      <c r="H395" s="122"/>
    </row>
    <row r="396">
      <c r="B396" s="122"/>
      <c r="C396" s="122"/>
      <c r="D396" s="122"/>
      <c r="E396" s="122"/>
      <c r="F396" s="118"/>
      <c r="H396" s="122"/>
    </row>
    <row r="397">
      <c r="B397" s="122"/>
      <c r="C397" s="122"/>
      <c r="D397" s="122"/>
      <c r="E397" s="122"/>
      <c r="F397" s="118"/>
      <c r="H397" s="122"/>
    </row>
    <row r="398">
      <c r="B398" s="122"/>
      <c r="C398" s="122"/>
      <c r="D398" s="122"/>
      <c r="E398" s="122"/>
      <c r="F398" s="118"/>
      <c r="H398" s="122"/>
    </row>
    <row r="399">
      <c r="B399" s="122"/>
      <c r="C399" s="122"/>
      <c r="D399" s="122"/>
      <c r="E399" s="122"/>
      <c r="F399" s="118"/>
      <c r="H399" s="122"/>
    </row>
    <row r="400">
      <c r="B400" s="122"/>
      <c r="C400" s="122"/>
      <c r="D400" s="122"/>
      <c r="E400" s="122"/>
      <c r="F400" s="118"/>
      <c r="H400" s="122"/>
    </row>
    <row r="401">
      <c r="B401" s="122"/>
      <c r="C401" s="122"/>
      <c r="D401" s="122"/>
      <c r="E401" s="122"/>
      <c r="F401" s="118"/>
      <c r="H401" s="122"/>
    </row>
    <row r="402">
      <c r="B402" s="122"/>
      <c r="C402" s="122"/>
      <c r="D402" s="122"/>
      <c r="E402" s="122"/>
      <c r="F402" s="118"/>
      <c r="H402" s="122"/>
    </row>
    <row r="403">
      <c r="B403" s="122"/>
      <c r="C403" s="122"/>
      <c r="D403" s="122"/>
      <c r="E403" s="122"/>
      <c r="F403" s="118"/>
      <c r="H403" s="122"/>
    </row>
    <row r="404">
      <c r="B404" s="122"/>
      <c r="C404" s="122"/>
      <c r="D404" s="122"/>
      <c r="E404" s="122"/>
      <c r="F404" s="118"/>
      <c r="H404" s="122"/>
    </row>
    <row r="405">
      <c r="B405" s="122"/>
      <c r="C405" s="122"/>
      <c r="D405" s="122"/>
      <c r="E405" s="122"/>
      <c r="F405" s="118"/>
      <c r="H405" s="122"/>
    </row>
    <row r="406">
      <c r="B406" s="122"/>
      <c r="C406" s="122"/>
      <c r="D406" s="122"/>
      <c r="E406" s="122"/>
      <c r="F406" s="118"/>
      <c r="H406" s="122"/>
    </row>
    <row r="407">
      <c r="B407" s="122"/>
      <c r="C407" s="122"/>
      <c r="D407" s="122"/>
      <c r="E407" s="122"/>
      <c r="F407" s="118"/>
      <c r="H407" s="122"/>
    </row>
    <row r="408">
      <c r="B408" s="122"/>
      <c r="C408" s="122"/>
      <c r="D408" s="122"/>
      <c r="E408" s="122"/>
      <c r="F408" s="118"/>
      <c r="H408" s="122"/>
    </row>
    <row r="409">
      <c r="B409" s="122"/>
      <c r="C409" s="122"/>
      <c r="D409" s="122"/>
      <c r="E409" s="122"/>
      <c r="F409" s="118"/>
      <c r="H409" s="122"/>
    </row>
    <row r="410">
      <c r="B410" s="122"/>
      <c r="C410" s="122"/>
      <c r="D410" s="122"/>
      <c r="E410" s="122"/>
      <c r="F410" s="118"/>
      <c r="H410" s="122"/>
    </row>
    <row r="411">
      <c r="B411" s="122"/>
      <c r="C411" s="122"/>
      <c r="D411" s="122"/>
      <c r="E411" s="122"/>
      <c r="F411" s="118"/>
      <c r="H411" s="122"/>
    </row>
    <row r="412">
      <c r="B412" s="122"/>
      <c r="C412" s="122"/>
      <c r="D412" s="122"/>
      <c r="E412" s="122"/>
      <c r="F412" s="118"/>
      <c r="H412" s="122"/>
    </row>
    <row r="413">
      <c r="B413" s="122"/>
      <c r="C413" s="122"/>
      <c r="D413" s="122"/>
      <c r="E413" s="122"/>
      <c r="F413" s="118"/>
      <c r="H413" s="122"/>
    </row>
    <row r="414">
      <c r="B414" s="122"/>
      <c r="C414" s="122"/>
      <c r="D414" s="122"/>
      <c r="E414" s="122"/>
      <c r="F414" s="118"/>
      <c r="H414" s="122"/>
    </row>
    <row r="415">
      <c r="B415" s="122"/>
      <c r="C415" s="122"/>
      <c r="D415" s="122"/>
      <c r="E415" s="122"/>
      <c r="F415" s="118"/>
      <c r="H415" s="122"/>
    </row>
    <row r="416">
      <c r="B416" s="122"/>
      <c r="C416" s="122"/>
      <c r="D416" s="122"/>
      <c r="E416" s="122"/>
      <c r="F416" s="118"/>
      <c r="H416" s="122"/>
    </row>
    <row r="417">
      <c r="B417" s="122"/>
      <c r="C417" s="122"/>
      <c r="D417" s="122"/>
      <c r="E417" s="122"/>
      <c r="F417" s="118"/>
      <c r="H417" s="122"/>
    </row>
    <row r="418">
      <c r="B418" s="122"/>
      <c r="C418" s="122"/>
      <c r="D418" s="122"/>
      <c r="E418" s="122"/>
      <c r="F418" s="118"/>
      <c r="H418" s="122"/>
    </row>
    <row r="419">
      <c r="B419" s="122"/>
      <c r="C419" s="122"/>
      <c r="D419" s="122"/>
      <c r="E419" s="122"/>
      <c r="F419" s="118"/>
      <c r="H419" s="122"/>
    </row>
    <row r="420">
      <c r="B420" s="122"/>
      <c r="C420" s="122"/>
      <c r="D420" s="122"/>
      <c r="E420" s="122"/>
      <c r="F420" s="118"/>
      <c r="H420" s="122"/>
    </row>
    <row r="421">
      <c r="B421" s="122"/>
      <c r="C421" s="122"/>
      <c r="D421" s="122"/>
      <c r="E421" s="122"/>
      <c r="F421" s="118"/>
      <c r="H421" s="122"/>
    </row>
    <row r="422">
      <c r="B422" s="122"/>
      <c r="C422" s="122"/>
      <c r="D422" s="122"/>
      <c r="E422" s="122"/>
      <c r="F422" s="118"/>
      <c r="H422" s="122"/>
    </row>
    <row r="423">
      <c r="B423" s="122"/>
      <c r="C423" s="122"/>
      <c r="D423" s="122"/>
      <c r="E423" s="122"/>
      <c r="F423" s="118"/>
      <c r="H423" s="122"/>
    </row>
    <row r="424">
      <c r="B424" s="122"/>
      <c r="C424" s="122"/>
      <c r="D424" s="122"/>
      <c r="E424" s="122"/>
      <c r="F424" s="118"/>
      <c r="H424" s="122"/>
    </row>
    <row r="425">
      <c r="B425" s="122"/>
      <c r="C425" s="122"/>
      <c r="D425" s="122"/>
      <c r="E425" s="122"/>
      <c r="F425" s="118"/>
      <c r="H425" s="122"/>
    </row>
    <row r="426">
      <c r="B426" s="122"/>
      <c r="C426" s="122"/>
      <c r="D426" s="122"/>
      <c r="E426" s="122"/>
      <c r="F426" s="118"/>
      <c r="H426" s="122"/>
    </row>
    <row r="427">
      <c r="B427" s="122"/>
      <c r="C427" s="122"/>
      <c r="D427" s="122"/>
      <c r="E427" s="122"/>
      <c r="F427" s="118"/>
      <c r="H427" s="122"/>
    </row>
    <row r="428">
      <c r="B428" s="122"/>
      <c r="C428" s="122"/>
      <c r="D428" s="122"/>
      <c r="E428" s="122"/>
      <c r="F428" s="118"/>
      <c r="H428" s="122"/>
    </row>
    <row r="429">
      <c r="B429" s="122"/>
      <c r="C429" s="122"/>
      <c r="D429" s="122"/>
      <c r="E429" s="122"/>
      <c r="F429" s="118"/>
      <c r="H429" s="122"/>
    </row>
    <row r="430">
      <c r="B430" s="122"/>
      <c r="C430" s="122"/>
      <c r="D430" s="122"/>
      <c r="E430" s="122"/>
      <c r="F430" s="118"/>
      <c r="H430" s="122"/>
    </row>
    <row r="431">
      <c r="B431" s="122"/>
      <c r="C431" s="122"/>
      <c r="D431" s="122"/>
      <c r="E431" s="122"/>
      <c r="F431" s="118"/>
      <c r="H431" s="122"/>
    </row>
    <row r="432">
      <c r="B432" s="122"/>
      <c r="C432" s="122"/>
      <c r="D432" s="122"/>
      <c r="E432" s="122"/>
      <c r="F432" s="118"/>
      <c r="H432" s="122"/>
    </row>
    <row r="433">
      <c r="B433" s="122"/>
      <c r="C433" s="122"/>
      <c r="D433" s="122"/>
      <c r="E433" s="122"/>
      <c r="F433" s="118"/>
      <c r="H433" s="122"/>
    </row>
    <row r="434">
      <c r="B434" s="122"/>
      <c r="C434" s="122"/>
      <c r="D434" s="122"/>
      <c r="E434" s="122"/>
      <c r="F434" s="118"/>
      <c r="H434" s="122"/>
    </row>
    <row r="435">
      <c r="B435" s="122"/>
      <c r="C435" s="122"/>
      <c r="D435" s="122"/>
      <c r="E435" s="122"/>
      <c r="F435" s="118"/>
      <c r="H435" s="122"/>
    </row>
    <row r="436">
      <c r="B436" s="122"/>
      <c r="C436" s="122"/>
      <c r="D436" s="122"/>
      <c r="E436" s="122"/>
      <c r="F436" s="118"/>
      <c r="H436" s="122"/>
    </row>
    <row r="437">
      <c r="B437" s="122"/>
      <c r="C437" s="122"/>
      <c r="D437" s="122"/>
      <c r="E437" s="122"/>
      <c r="F437" s="118"/>
      <c r="H437" s="122"/>
    </row>
    <row r="438">
      <c r="B438" s="122"/>
      <c r="C438" s="122"/>
      <c r="D438" s="122"/>
      <c r="E438" s="122"/>
      <c r="F438" s="118"/>
      <c r="H438" s="122"/>
    </row>
    <row r="439">
      <c r="B439" s="122"/>
      <c r="C439" s="122"/>
      <c r="D439" s="122"/>
      <c r="E439" s="122"/>
      <c r="F439" s="118"/>
      <c r="H439" s="122"/>
    </row>
    <row r="440">
      <c r="B440" s="122"/>
      <c r="C440" s="122"/>
      <c r="D440" s="122"/>
      <c r="E440" s="122"/>
      <c r="F440" s="118"/>
      <c r="H440" s="122"/>
    </row>
    <row r="441">
      <c r="B441" s="122"/>
      <c r="C441" s="122"/>
      <c r="D441" s="122"/>
      <c r="E441" s="122"/>
      <c r="F441" s="118"/>
      <c r="H441" s="122"/>
    </row>
    <row r="442">
      <c r="B442" s="122"/>
      <c r="C442" s="122"/>
      <c r="D442" s="122"/>
      <c r="E442" s="122"/>
      <c r="F442" s="118"/>
      <c r="H442" s="122"/>
    </row>
    <row r="443">
      <c r="B443" s="122"/>
      <c r="C443" s="122"/>
      <c r="D443" s="122"/>
      <c r="E443" s="122"/>
      <c r="F443" s="118"/>
      <c r="H443" s="122"/>
    </row>
    <row r="444">
      <c r="B444" s="122"/>
      <c r="C444" s="122"/>
      <c r="D444" s="122"/>
      <c r="E444" s="122"/>
      <c r="F444" s="118"/>
      <c r="H444" s="122"/>
    </row>
    <row r="445">
      <c r="B445" s="122"/>
      <c r="C445" s="122"/>
      <c r="D445" s="122"/>
      <c r="E445" s="122"/>
      <c r="F445" s="118"/>
      <c r="H445" s="122"/>
    </row>
    <row r="446">
      <c r="B446" s="122"/>
      <c r="C446" s="122"/>
      <c r="D446" s="122"/>
      <c r="E446" s="122"/>
      <c r="F446" s="118"/>
      <c r="H446" s="122"/>
    </row>
    <row r="447">
      <c r="B447" s="122"/>
      <c r="C447" s="122"/>
      <c r="D447" s="122"/>
      <c r="E447" s="122"/>
      <c r="F447" s="118"/>
      <c r="H447" s="122"/>
    </row>
    <row r="448">
      <c r="B448" s="122"/>
      <c r="C448" s="122"/>
      <c r="D448" s="122"/>
      <c r="E448" s="122"/>
      <c r="F448" s="118"/>
      <c r="H448" s="122"/>
    </row>
    <row r="449">
      <c r="B449" s="122"/>
      <c r="C449" s="122"/>
      <c r="D449" s="122"/>
      <c r="E449" s="122"/>
      <c r="F449" s="118"/>
      <c r="H449" s="122"/>
    </row>
    <row r="450">
      <c r="B450" s="122"/>
      <c r="C450" s="122"/>
      <c r="D450" s="122"/>
      <c r="E450" s="122"/>
      <c r="F450" s="118"/>
      <c r="H450" s="122"/>
    </row>
    <row r="451">
      <c r="B451" s="122"/>
      <c r="C451" s="122"/>
      <c r="D451" s="122"/>
      <c r="E451" s="122"/>
      <c r="F451" s="118"/>
      <c r="H451" s="122"/>
    </row>
    <row r="452">
      <c r="B452" s="122"/>
      <c r="C452" s="122"/>
      <c r="D452" s="122"/>
      <c r="E452" s="122"/>
      <c r="F452" s="118"/>
      <c r="H452" s="122"/>
    </row>
    <row r="453">
      <c r="B453" s="122"/>
      <c r="C453" s="122"/>
      <c r="D453" s="122"/>
      <c r="E453" s="122"/>
      <c r="F453" s="118"/>
      <c r="H453" s="122"/>
    </row>
    <row r="454">
      <c r="B454" s="122"/>
      <c r="C454" s="122"/>
      <c r="D454" s="122"/>
      <c r="E454" s="122"/>
      <c r="F454" s="118"/>
      <c r="H454" s="122"/>
    </row>
    <row r="455">
      <c r="B455" s="122"/>
      <c r="C455" s="122"/>
      <c r="D455" s="122"/>
      <c r="E455" s="122"/>
      <c r="F455" s="118"/>
      <c r="H455" s="122"/>
    </row>
    <row r="456">
      <c r="B456" s="122"/>
      <c r="C456" s="122"/>
      <c r="D456" s="122"/>
      <c r="E456" s="122"/>
      <c r="F456" s="118"/>
      <c r="H456" s="122"/>
    </row>
    <row r="457">
      <c r="B457" s="122"/>
      <c r="C457" s="122"/>
      <c r="D457" s="122"/>
      <c r="E457" s="122"/>
      <c r="F457" s="118"/>
      <c r="H457" s="122"/>
    </row>
    <row r="458">
      <c r="B458" s="122"/>
      <c r="C458" s="122"/>
      <c r="D458" s="122"/>
      <c r="E458" s="122"/>
      <c r="F458" s="118"/>
      <c r="H458" s="122"/>
    </row>
    <row r="459">
      <c r="B459" s="122"/>
      <c r="C459" s="122"/>
      <c r="D459" s="122"/>
      <c r="E459" s="122"/>
      <c r="F459" s="118"/>
      <c r="H459" s="122"/>
    </row>
    <row r="460">
      <c r="B460" s="122"/>
      <c r="C460" s="122"/>
      <c r="D460" s="122"/>
      <c r="E460" s="122"/>
      <c r="F460" s="118"/>
      <c r="H460" s="122"/>
    </row>
    <row r="461">
      <c r="B461" s="122"/>
      <c r="C461" s="122"/>
      <c r="D461" s="122"/>
      <c r="E461" s="122"/>
      <c r="F461" s="118"/>
      <c r="H461" s="122"/>
    </row>
    <row r="462">
      <c r="B462" s="122"/>
      <c r="C462" s="122"/>
      <c r="D462" s="122"/>
      <c r="E462" s="122"/>
      <c r="F462" s="118"/>
      <c r="H462" s="122"/>
    </row>
    <row r="463">
      <c r="B463" s="122"/>
      <c r="C463" s="122"/>
      <c r="D463" s="122"/>
      <c r="E463" s="122"/>
      <c r="F463" s="118"/>
      <c r="H463" s="122"/>
    </row>
    <row r="464">
      <c r="B464" s="122"/>
      <c r="C464" s="122"/>
      <c r="D464" s="122"/>
      <c r="E464" s="122"/>
      <c r="F464" s="118"/>
      <c r="H464" s="122"/>
    </row>
    <row r="465">
      <c r="B465" s="122"/>
      <c r="C465" s="122"/>
      <c r="D465" s="122"/>
      <c r="E465" s="122"/>
      <c r="F465" s="118"/>
      <c r="H465" s="122"/>
    </row>
    <row r="466">
      <c r="B466" s="122"/>
      <c r="C466" s="122"/>
      <c r="D466" s="122"/>
      <c r="E466" s="122"/>
      <c r="F466" s="118"/>
      <c r="H466" s="122"/>
    </row>
    <row r="467">
      <c r="B467" s="122"/>
      <c r="C467" s="122"/>
      <c r="D467" s="122"/>
      <c r="E467" s="122"/>
      <c r="F467" s="118"/>
      <c r="H467" s="122"/>
    </row>
    <row r="468">
      <c r="B468" s="122"/>
      <c r="C468" s="122"/>
      <c r="D468" s="122"/>
      <c r="E468" s="122"/>
      <c r="F468" s="118"/>
      <c r="H468" s="122"/>
    </row>
    <row r="469">
      <c r="B469" s="122"/>
      <c r="C469" s="122"/>
      <c r="D469" s="122"/>
      <c r="E469" s="122"/>
      <c r="F469" s="118"/>
      <c r="H469" s="122"/>
    </row>
    <row r="470">
      <c r="B470" s="122"/>
      <c r="C470" s="122"/>
      <c r="D470" s="122"/>
      <c r="E470" s="122"/>
      <c r="F470" s="118"/>
      <c r="H470" s="122"/>
    </row>
    <row r="471">
      <c r="B471" s="122"/>
      <c r="C471" s="122"/>
      <c r="D471" s="122"/>
      <c r="E471" s="122"/>
      <c r="F471" s="118"/>
      <c r="H471" s="122"/>
    </row>
    <row r="472">
      <c r="B472" s="122"/>
      <c r="C472" s="122"/>
      <c r="D472" s="122"/>
      <c r="E472" s="122"/>
      <c r="F472" s="118"/>
      <c r="H472" s="122"/>
    </row>
    <row r="473">
      <c r="B473" s="122"/>
      <c r="C473" s="122"/>
      <c r="D473" s="122"/>
      <c r="E473" s="122"/>
      <c r="F473" s="118"/>
      <c r="H473" s="122"/>
    </row>
    <row r="474">
      <c r="B474" s="122"/>
      <c r="C474" s="122"/>
      <c r="D474" s="122"/>
      <c r="E474" s="122"/>
      <c r="F474" s="118"/>
      <c r="H474" s="122"/>
    </row>
    <row r="475">
      <c r="B475" s="122"/>
      <c r="C475" s="122"/>
      <c r="D475" s="122"/>
      <c r="E475" s="122"/>
      <c r="F475" s="118"/>
      <c r="H475" s="122"/>
    </row>
    <row r="476">
      <c r="B476" s="122"/>
      <c r="C476" s="122"/>
      <c r="D476" s="122"/>
      <c r="E476" s="122"/>
      <c r="F476" s="118"/>
      <c r="H476" s="122"/>
    </row>
    <row r="477">
      <c r="B477" s="122"/>
      <c r="C477" s="122"/>
      <c r="D477" s="122"/>
      <c r="E477" s="122"/>
      <c r="F477" s="118"/>
      <c r="H477" s="122"/>
    </row>
    <row r="478">
      <c r="B478" s="122"/>
      <c r="C478" s="122"/>
      <c r="D478" s="122"/>
      <c r="E478" s="122"/>
      <c r="F478" s="118"/>
      <c r="H478" s="122"/>
    </row>
    <row r="479">
      <c r="B479" s="122"/>
      <c r="C479" s="122"/>
      <c r="D479" s="122"/>
      <c r="E479" s="122"/>
      <c r="F479" s="118"/>
      <c r="H479" s="122"/>
    </row>
    <row r="480">
      <c r="B480" s="122"/>
      <c r="C480" s="122"/>
      <c r="D480" s="122"/>
      <c r="E480" s="122"/>
      <c r="F480" s="118"/>
      <c r="H480" s="122"/>
    </row>
    <row r="481">
      <c r="B481" s="122"/>
      <c r="C481" s="122"/>
      <c r="D481" s="122"/>
      <c r="E481" s="122"/>
      <c r="F481" s="118"/>
      <c r="H481" s="122"/>
    </row>
    <row r="482">
      <c r="B482" s="122"/>
      <c r="C482" s="122"/>
      <c r="D482" s="122"/>
      <c r="E482" s="122"/>
      <c r="F482" s="118"/>
      <c r="H482" s="122"/>
    </row>
    <row r="483">
      <c r="B483" s="122"/>
      <c r="C483" s="122"/>
      <c r="D483" s="122"/>
      <c r="E483" s="122"/>
      <c r="F483" s="118"/>
      <c r="H483" s="122"/>
    </row>
    <row r="484">
      <c r="B484" s="122"/>
      <c r="C484" s="122"/>
      <c r="D484" s="122"/>
      <c r="E484" s="122"/>
      <c r="F484" s="118"/>
      <c r="H484" s="122"/>
    </row>
    <row r="485">
      <c r="B485" s="122"/>
      <c r="C485" s="122"/>
      <c r="D485" s="122"/>
      <c r="E485" s="122"/>
      <c r="F485" s="118"/>
      <c r="H485" s="122"/>
    </row>
    <row r="486">
      <c r="B486" s="122"/>
      <c r="C486" s="122"/>
      <c r="D486" s="122"/>
      <c r="E486" s="122"/>
      <c r="F486" s="118"/>
      <c r="H486" s="122"/>
    </row>
    <row r="487">
      <c r="B487" s="122"/>
      <c r="C487" s="122"/>
      <c r="D487" s="122"/>
      <c r="E487" s="122"/>
      <c r="F487" s="118"/>
      <c r="H487" s="122"/>
    </row>
    <row r="488">
      <c r="B488" s="122"/>
      <c r="C488" s="122"/>
      <c r="D488" s="122"/>
      <c r="E488" s="122"/>
      <c r="F488" s="118"/>
      <c r="H488" s="122"/>
    </row>
    <row r="489">
      <c r="B489" s="122"/>
      <c r="C489" s="122"/>
      <c r="D489" s="122"/>
      <c r="E489" s="122"/>
      <c r="F489" s="118"/>
      <c r="H489" s="122"/>
    </row>
    <row r="490">
      <c r="B490" s="122"/>
      <c r="C490" s="122"/>
      <c r="D490" s="122"/>
      <c r="E490" s="122"/>
      <c r="F490" s="118"/>
      <c r="H490" s="122"/>
    </row>
    <row r="491">
      <c r="B491" s="122"/>
      <c r="C491" s="122"/>
      <c r="D491" s="122"/>
      <c r="E491" s="122"/>
      <c r="F491" s="118"/>
      <c r="H491" s="122"/>
    </row>
    <row r="492">
      <c r="B492" s="122"/>
      <c r="C492" s="122"/>
      <c r="D492" s="122"/>
      <c r="E492" s="122"/>
      <c r="F492" s="118"/>
      <c r="H492" s="122"/>
    </row>
    <row r="493">
      <c r="B493" s="122"/>
      <c r="C493" s="122"/>
      <c r="D493" s="122"/>
      <c r="E493" s="122"/>
      <c r="F493" s="118"/>
      <c r="H493" s="122"/>
    </row>
    <row r="494">
      <c r="B494" s="122"/>
      <c r="C494" s="122"/>
      <c r="D494" s="122"/>
      <c r="E494" s="122"/>
      <c r="F494" s="118"/>
      <c r="H494" s="122"/>
    </row>
    <row r="495">
      <c r="B495" s="122"/>
      <c r="C495" s="122"/>
      <c r="D495" s="122"/>
      <c r="E495" s="122"/>
      <c r="F495" s="118"/>
      <c r="H495" s="122"/>
    </row>
    <row r="496">
      <c r="B496" s="122"/>
      <c r="C496" s="122"/>
      <c r="D496" s="122"/>
      <c r="E496" s="122"/>
      <c r="F496" s="118"/>
      <c r="H496" s="122"/>
    </row>
    <row r="497">
      <c r="B497" s="122"/>
      <c r="C497" s="122"/>
      <c r="D497" s="122"/>
      <c r="E497" s="122"/>
      <c r="F497" s="118"/>
      <c r="H497" s="122"/>
    </row>
    <row r="498">
      <c r="B498" s="122"/>
      <c r="C498" s="122"/>
      <c r="D498" s="122"/>
      <c r="E498" s="122"/>
      <c r="F498" s="118"/>
      <c r="H498" s="122"/>
    </row>
    <row r="499">
      <c r="B499" s="122"/>
      <c r="C499" s="122"/>
      <c r="D499" s="122"/>
      <c r="E499" s="122"/>
      <c r="F499" s="118"/>
      <c r="H499" s="122"/>
    </row>
    <row r="500">
      <c r="B500" s="122"/>
      <c r="C500" s="122"/>
      <c r="D500" s="122"/>
      <c r="E500" s="122"/>
      <c r="F500" s="118"/>
      <c r="H500" s="122"/>
    </row>
    <row r="501">
      <c r="B501" s="122"/>
      <c r="C501" s="122"/>
      <c r="D501" s="122"/>
      <c r="E501" s="122"/>
      <c r="F501" s="118"/>
      <c r="H501" s="122"/>
    </row>
    <row r="502">
      <c r="B502" s="122"/>
      <c r="C502" s="122"/>
      <c r="D502" s="122"/>
      <c r="E502" s="122"/>
      <c r="F502" s="118"/>
      <c r="H502" s="122"/>
    </row>
    <row r="503">
      <c r="B503" s="122"/>
      <c r="C503" s="122"/>
      <c r="D503" s="122"/>
      <c r="E503" s="122"/>
      <c r="F503" s="118"/>
      <c r="H503" s="122"/>
    </row>
    <row r="504">
      <c r="B504" s="122"/>
      <c r="C504" s="122"/>
      <c r="D504" s="122"/>
      <c r="E504" s="122"/>
      <c r="F504" s="118"/>
      <c r="H504" s="122"/>
    </row>
    <row r="505">
      <c r="B505" s="122"/>
      <c r="C505" s="122"/>
      <c r="D505" s="122"/>
      <c r="E505" s="122"/>
      <c r="F505" s="118"/>
      <c r="H505" s="122"/>
    </row>
    <row r="506">
      <c r="B506" s="122"/>
      <c r="C506" s="122"/>
      <c r="D506" s="122"/>
      <c r="E506" s="122"/>
      <c r="F506" s="118"/>
      <c r="H506" s="122"/>
    </row>
    <row r="507">
      <c r="B507" s="122"/>
      <c r="C507" s="122"/>
      <c r="D507" s="122"/>
      <c r="E507" s="122"/>
      <c r="F507" s="118"/>
      <c r="H507" s="122"/>
    </row>
    <row r="508">
      <c r="B508" s="122"/>
      <c r="C508" s="122"/>
      <c r="D508" s="122"/>
      <c r="E508" s="122"/>
      <c r="F508" s="118"/>
      <c r="H508" s="122"/>
    </row>
    <row r="509">
      <c r="B509" s="122"/>
      <c r="C509" s="122"/>
      <c r="D509" s="122"/>
      <c r="E509" s="122"/>
      <c r="F509" s="118"/>
      <c r="H509" s="122"/>
    </row>
    <row r="510">
      <c r="B510" s="122"/>
      <c r="C510" s="122"/>
      <c r="D510" s="122"/>
      <c r="E510" s="122"/>
      <c r="F510" s="118"/>
      <c r="H510" s="122"/>
    </row>
    <row r="511">
      <c r="B511" s="122"/>
      <c r="C511" s="122"/>
      <c r="D511" s="122"/>
      <c r="E511" s="122"/>
      <c r="F511" s="118"/>
      <c r="H511" s="122"/>
    </row>
    <row r="512">
      <c r="B512" s="122"/>
      <c r="C512" s="122"/>
      <c r="D512" s="122"/>
      <c r="E512" s="122"/>
      <c r="F512" s="118"/>
      <c r="H512" s="122"/>
    </row>
    <row r="513">
      <c r="B513" s="122"/>
      <c r="C513" s="122"/>
      <c r="D513" s="122"/>
      <c r="E513" s="122"/>
      <c r="F513" s="118"/>
      <c r="H513" s="122"/>
    </row>
    <row r="514">
      <c r="B514" s="122"/>
      <c r="C514" s="122"/>
      <c r="D514" s="122"/>
      <c r="E514" s="122"/>
      <c r="F514" s="118"/>
      <c r="H514" s="122"/>
    </row>
    <row r="515">
      <c r="B515" s="122"/>
      <c r="C515" s="122"/>
      <c r="D515" s="122"/>
      <c r="E515" s="122"/>
      <c r="F515" s="118"/>
      <c r="H515" s="122"/>
    </row>
    <row r="516">
      <c r="B516" s="122"/>
      <c r="C516" s="122"/>
      <c r="D516" s="122"/>
      <c r="E516" s="122"/>
      <c r="F516" s="118"/>
      <c r="H516" s="122"/>
    </row>
    <row r="517">
      <c r="B517" s="122"/>
      <c r="C517" s="122"/>
      <c r="D517" s="122"/>
      <c r="E517" s="122"/>
      <c r="F517" s="118"/>
      <c r="H517" s="122"/>
    </row>
    <row r="518">
      <c r="B518" s="122"/>
      <c r="C518" s="122"/>
      <c r="D518" s="122"/>
      <c r="E518" s="122"/>
      <c r="F518" s="118"/>
      <c r="H518" s="122"/>
    </row>
    <row r="519">
      <c r="B519" s="122"/>
      <c r="C519" s="122"/>
      <c r="D519" s="122"/>
      <c r="E519" s="122"/>
      <c r="F519" s="118"/>
      <c r="H519" s="122"/>
    </row>
    <row r="520">
      <c r="B520" s="122"/>
      <c r="C520" s="122"/>
      <c r="D520" s="122"/>
      <c r="E520" s="122"/>
      <c r="F520" s="118"/>
      <c r="H520" s="122"/>
    </row>
    <row r="521">
      <c r="B521" s="122"/>
      <c r="C521" s="122"/>
      <c r="D521" s="122"/>
      <c r="E521" s="122"/>
      <c r="F521" s="118"/>
      <c r="H521" s="122"/>
    </row>
    <row r="522">
      <c r="B522" s="122"/>
      <c r="C522" s="122"/>
      <c r="D522" s="122"/>
      <c r="E522" s="122"/>
      <c r="F522" s="118"/>
      <c r="H522" s="122"/>
    </row>
    <row r="523">
      <c r="B523" s="122"/>
      <c r="C523" s="122"/>
      <c r="D523" s="122"/>
      <c r="E523" s="122"/>
      <c r="F523" s="118"/>
      <c r="H523" s="122"/>
    </row>
    <row r="524">
      <c r="B524" s="122"/>
      <c r="C524" s="122"/>
      <c r="D524" s="122"/>
      <c r="E524" s="122"/>
      <c r="F524" s="118"/>
      <c r="H524" s="122"/>
    </row>
    <row r="525">
      <c r="B525" s="122"/>
      <c r="C525" s="122"/>
      <c r="D525" s="122"/>
      <c r="E525" s="122"/>
      <c r="F525" s="118"/>
      <c r="H525" s="122"/>
    </row>
    <row r="526">
      <c r="B526" s="122"/>
      <c r="C526" s="122"/>
      <c r="D526" s="122"/>
      <c r="E526" s="122"/>
      <c r="F526" s="118"/>
      <c r="H526" s="122"/>
    </row>
    <row r="527">
      <c r="B527" s="122"/>
      <c r="C527" s="122"/>
      <c r="D527" s="122"/>
      <c r="E527" s="122"/>
      <c r="F527" s="118"/>
      <c r="H527" s="122"/>
    </row>
    <row r="528">
      <c r="B528" s="122"/>
      <c r="C528" s="122"/>
      <c r="D528" s="122"/>
      <c r="E528" s="122"/>
      <c r="F528" s="118"/>
      <c r="H528" s="122"/>
    </row>
    <row r="529">
      <c r="B529" s="122"/>
      <c r="C529" s="122"/>
      <c r="D529" s="122"/>
      <c r="E529" s="122"/>
      <c r="F529" s="118"/>
      <c r="H529" s="122"/>
    </row>
    <row r="530">
      <c r="B530" s="122"/>
      <c r="C530" s="122"/>
      <c r="D530" s="122"/>
      <c r="E530" s="122"/>
      <c r="F530" s="118"/>
      <c r="H530" s="122"/>
    </row>
    <row r="531">
      <c r="B531" s="122"/>
      <c r="C531" s="122"/>
      <c r="D531" s="122"/>
      <c r="E531" s="122"/>
      <c r="F531" s="118"/>
      <c r="H531" s="122"/>
    </row>
    <row r="532">
      <c r="B532" s="122"/>
      <c r="C532" s="122"/>
      <c r="D532" s="122"/>
      <c r="E532" s="122"/>
      <c r="F532" s="118"/>
      <c r="H532" s="122"/>
    </row>
    <row r="533">
      <c r="B533" s="122"/>
      <c r="C533" s="122"/>
      <c r="D533" s="122"/>
      <c r="E533" s="122"/>
      <c r="F533" s="118"/>
      <c r="H533" s="122"/>
    </row>
    <row r="534">
      <c r="B534" s="122"/>
      <c r="C534" s="122"/>
      <c r="D534" s="122"/>
      <c r="E534" s="122"/>
      <c r="F534" s="118"/>
      <c r="H534" s="122"/>
    </row>
    <row r="535">
      <c r="B535" s="122"/>
      <c r="C535" s="122"/>
      <c r="D535" s="122"/>
      <c r="E535" s="122"/>
      <c r="F535" s="118"/>
      <c r="H535" s="122"/>
    </row>
    <row r="536">
      <c r="B536" s="122"/>
      <c r="C536" s="122"/>
      <c r="D536" s="122"/>
      <c r="E536" s="122"/>
      <c r="F536" s="118"/>
      <c r="H536" s="122"/>
    </row>
    <row r="537">
      <c r="B537" s="122"/>
      <c r="C537" s="122"/>
      <c r="D537" s="122"/>
      <c r="E537" s="122"/>
      <c r="F537" s="118"/>
      <c r="H537" s="122"/>
    </row>
    <row r="538">
      <c r="B538" s="122"/>
      <c r="C538" s="122"/>
      <c r="D538" s="122"/>
      <c r="E538" s="122"/>
      <c r="F538" s="118"/>
      <c r="H538" s="122"/>
    </row>
    <row r="539">
      <c r="B539" s="122"/>
      <c r="C539" s="122"/>
      <c r="D539" s="122"/>
      <c r="E539" s="122"/>
      <c r="F539" s="118"/>
      <c r="H539" s="122"/>
    </row>
    <row r="540">
      <c r="B540" s="122"/>
      <c r="C540" s="122"/>
      <c r="D540" s="122"/>
      <c r="E540" s="122"/>
      <c r="F540" s="118"/>
      <c r="H540" s="122"/>
    </row>
    <row r="541">
      <c r="B541" s="122"/>
      <c r="C541" s="122"/>
      <c r="D541" s="122"/>
      <c r="E541" s="122"/>
      <c r="F541" s="118"/>
      <c r="H541" s="122"/>
    </row>
    <row r="542">
      <c r="B542" s="122"/>
      <c r="C542" s="122"/>
      <c r="D542" s="122"/>
      <c r="E542" s="122"/>
      <c r="F542" s="118"/>
      <c r="H542" s="122"/>
    </row>
    <row r="543">
      <c r="B543" s="122"/>
      <c r="C543" s="122"/>
      <c r="D543" s="122"/>
      <c r="E543" s="122"/>
      <c r="F543" s="118"/>
      <c r="H543" s="122"/>
    </row>
    <row r="544">
      <c r="B544" s="122"/>
      <c r="C544" s="122"/>
      <c r="D544" s="122"/>
      <c r="E544" s="122"/>
      <c r="F544" s="118"/>
      <c r="H544" s="122"/>
    </row>
    <row r="545">
      <c r="B545" s="122"/>
      <c r="C545" s="122"/>
      <c r="D545" s="122"/>
      <c r="E545" s="122"/>
      <c r="F545" s="118"/>
      <c r="H545" s="122"/>
    </row>
    <row r="546">
      <c r="B546" s="122"/>
      <c r="C546" s="122"/>
      <c r="D546" s="122"/>
      <c r="E546" s="122"/>
      <c r="F546" s="118"/>
      <c r="H546" s="122"/>
    </row>
    <row r="547">
      <c r="B547" s="122"/>
      <c r="C547" s="122"/>
      <c r="D547" s="122"/>
      <c r="E547" s="122"/>
      <c r="F547" s="118"/>
      <c r="H547" s="122"/>
    </row>
    <row r="548">
      <c r="B548" s="122"/>
      <c r="C548" s="122"/>
      <c r="D548" s="122"/>
      <c r="E548" s="122"/>
      <c r="F548" s="118"/>
      <c r="H548" s="122"/>
    </row>
    <row r="549">
      <c r="B549" s="122"/>
      <c r="C549" s="122"/>
      <c r="D549" s="122"/>
      <c r="E549" s="122"/>
      <c r="F549" s="118"/>
      <c r="H549" s="122"/>
    </row>
    <row r="550">
      <c r="B550" s="122"/>
      <c r="C550" s="122"/>
      <c r="D550" s="122"/>
      <c r="E550" s="122"/>
      <c r="F550" s="118"/>
      <c r="H550" s="122"/>
    </row>
    <row r="551">
      <c r="B551" s="122"/>
      <c r="C551" s="122"/>
      <c r="D551" s="122"/>
      <c r="E551" s="122"/>
      <c r="F551" s="118"/>
      <c r="H551" s="122"/>
    </row>
    <row r="552">
      <c r="B552" s="122"/>
      <c r="C552" s="122"/>
      <c r="D552" s="122"/>
      <c r="E552" s="122"/>
      <c r="F552" s="118"/>
      <c r="H552" s="122"/>
    </row>
    <row r="553">
      <c r="B553" s="122"/>
      <c r="C553" s="122"/>
      <c r="D553" s="122"/>
      <c r="E553" s="122"/>
      <c r="F553" s="118"/>
      <c r="H553" s="122"/>
    </row>
    <row r="554">
      <c r="B554" s="122"/>
      <c r="C554" s="122"/>
      <c r="D554" s="122"/>
      <c r="E554" s="122"/>
      <c r="F554" s="118"/>
      <c r="H554" s="122"/>
    </row>
    <row r="555">
      <c r="B555" s="122"/>
      <c r="C555" s="122"/>
      <c r="D555" s="122"/>
      <c r="E555" s="122"/>
      <c r="F555" s="118"/>
      <c r="H555" s="122"/>
    </row>
    <row r="556">
      <c r="B556" s="122"/>
      <c r="C556" s="122"/>
      <c r="D556" s="122"/>
      <c r="E556" s="122"/>
      <c r="F556" s="118"/>
      <c r="H556" s="122"/>
    </row>
    <row r="557">
      <c r="B557" s="122"/>
      <c r="C557" s="122"/>
      <c r="D557" s="122"/>
      <c r="E557" s="122"/>
      <c r="F557" s="118"/>
      <c r="H557" s="122"/>
    </row>
    <row r="558">
      <c r="B558" s="122"/>
      <c r="C558" s="122"/>
      <c r="D558" s="122"/>
      <c r="E558" s="122"/>
      <c r="F558" s="118"/>
      <c r="H558" s="122"/>
    </row>
    <row r="559">
      <c r="B559" s="122"/>
      <c r="C559" s="122"/>
      <c r="D559" s="122"/>
      <c r="E559" s="122"/>
      <c r="F559" s="118"/>
      <c r="H559" s="122"/>
    </row>
    <row r="560">
      <c r="B560" s="122"/>
      <c r="C560" s="122"/>
      <c r="D560" s="122"/>
      <c r="E560" s="122"/>
      <c r="F560" s="118"/>
      <c r="H560" s="122"/>
    </row>
    <row r="561">
      <c r="B561" s="122"/>
      <c r="C561" s="122"/>
      <c r="D561" s="122"/>
      <c r="E561" s="122"/>
      <c r="F561" s="118"/>
      <c r="H561" s="122"/>
    </row>
    <row r="562">
      <c r="B562" s="122"/>
      <c r="C562" s="122"/>
      <c r="D562" s="122"/>
      <c r="E562" s="122"/>
      <c r="F562" s="118"/>
      <c r="H562" s="122"/>
    </row>
    <row r="563">
      <c r="B563" s="122"/>
      <c r="C563" s="122"/>
      <c r="D563" s="122"/>
      <c r="E563" s="122"/>
      <c r="F563" s="118"/>
      <c r="H563" s="122"/>
    </row>
    <row r="564">
      <c r="B564" s="122"/>
      <c r="C564" s="122"/>
      <c r="D564" s="122"/>
      <c r="E564" s="122"/>
      <c r="F564" s="118"/>
      <c r="H564" s="122"/>
    </row>
    <row r="565">
      <c r="B565" s="122"/>
      <c r="C565" s="122"/>
      <c r="D565" s="122"/>
      <c r="E565" s="122"/>
      <c r="F565" s="118"/>
      <c r="H565" s="122"/>
    </row>
    <row r="566">
      <c r="B566" s="122"/>
      <c r="C566" s="122"/>
      <c r="D566" s="122"/>
      <c r="E566" s="122"/>
      <c r="F566" s="118"/>
      <c r="H566" s="122"/>
    </row>
    <row r="567">
      <c r="B567" s="122"/>
      <c r="C567" s="122"/>
      <c r="D567" s="122"/>
      <c r="E567" s="122"/>
      <c r="F567" s="118"/>
      <c r="H567" s="122"/>
    </row>
    <row r="568">
      <c r="B568" s="122"/>
      <c r="C568" s="122"/>
      <c r="D568" s="122"/>
      <c r="E568" s="122"/>
      <c r="F568" s="118"/>
      <c r="H568" s="122"/>
    </row>
    <row r="569">
      <c r="B569" s="122"/>
      <c r="C569" s="122"/>
      <c r="D569" s="122"/>
      <c r="E569" s="122"/>
      <c r="F569" s="118"/>
      <c r="H569" s="122"/>
    </row>
    <row r="570">
      <c r="B570" s="122"/>
      <c r="C570" s="122"/>
      <c r="D570" s="122"/>
      <c r="E570" s="122"/>
      <c r="F570" s="118"/>
      <c r="H570" s="122"/>
    </row>
    <row r="571">
      <c r="B571" s="122"/>
      <c r="C571" s="122"/>
      <c r="D571" s="122"/>
      <c r="E571" s="122"/>
      <c r="F571" s="118"/>
      <c r="H571" s="122"/>
    </row>
    <row r="572">
      <c r="B572" s="122"/>
      <c r="C572" s="122"/>
      <c r="D572" s="122"/>
      <c r="E572" s="122"/>
      <c r="F572" s="118"/>
      <c r="H572" s="122"/>
    </row>
    <row r="573">
      <c r="B573" s="122"/>
      <c r="C573" s="122"/>
      <c r="D573" s="122"/>
      <c r="E573" s="122"/>
      <c r="F573" s="118"/>
      <c r="H573" s="122"/>
    </row>
    <row r="574">
      <c r="B574" s="122"/>
      <c r="C574" s="122"/>
      <c r="D574" s="122"/>
      <c r="E574" s="122"/>
      <c r="F574" s="118"/>
      <c r="H574" s="122"/>
    </row>
    <row r="575">
      <c r="B575" s="122"/>
      <c r="C575" s="122"/>
      <c r="D575" s="122"/>
      <c r="E575" s="122"/>
      <c r="F575" s="118"/>
      <c r="H575" s="122"/>
    </row>
    <row r="576">
      <c r="B576" s="122"/>
      <c r="C576" s="122"/>
      <c r="D576" s="122"/>
      <c r="E576" s="122"/>
      <c r="F576" s="118"/>
      <c r="H576" s="122"/>
    </row>
    <row r="577">
      <c r="B577" s="122"/>
      <c r="C577" s="122"/>
      <c r="D577" s="122"/>
      <c r="E577" s="122"/>
      <c r="F577" s="118"/>
      <c r="H577" s="122"/>
    </row>
    <row r="578">
      <c r="B578" s="122"/>
      <c r="C578" s="122"/>
      <c r="D578" s="122"/>
      <c r="E578" s="122"/>
      <c r="F578" s="118"/>
      <c r="H578" s="122"/>
    </row>
    <row r="579">
      <c r="B579" s="122"/>
      <c r="C579" s="122"/>
      <c r="D579" s="122"/>
      <c r="E579" s="122"/>
      <c r="F579" s="118"/>
      <c r="H579" s="122"/>
    </row>
    <row r="580">
      <c r="B580" s="122"/>
      <c r="C580" s="122"/>
      <c r="D580" s="122"/>
      <c r="E580" s="122"/>
      <c r="F580" s="118"/>
      <c r="H580" s="122"/>
    </row>
    <row r="581">
      <c r="B581" s="122"/>
      <c r="C581" s="122"/>
      <c r="D581" s="122"/>
      <c r="E581" s="122"/>
      <c r="F581" s="118"/>
      <c r="H581" s="122"/>
    </row>
    <row r="582">
      <c r="B582" s="122"/>
      <c r="C582" s="122"/>
      <c r="D582" s="122"/>
      <c r="E582" s="122"/>
      <c r="F582" s="118"/>
      <c r="H582" s="122"/>
    </row>
    <row r="583">
      <c r="B583" s="122"/>
      <c r="C583" s="122"/>
      <c r="D583" s="122"/>
      <c r="E583" s="122"/>
      <c r="F583" s="118"/>
      <c r="H583" s="122"/>
    </row>
    <row r="584">
      <c r="B584" s="122"/>
      <c r="C584" s="122"/>
      <c r="D584" s="122"/>
      <c r="E584" s="122"/>
      <c r="F584" s="118"/>
      <c r="H584" s="122"/>
    </row>
    <row r="585">
      <c r="B585" s="122"/>
      <c r="C585" s="122"/>
      <c r="D585" s="122"/>
      <c r="E585" s="122"/>
      <c r="F585" s="118"/>
      <c r="H585" s="122"/>
    </row>
    <row r="586">
      <c r="B586" s="122"/>
      <c r="C586" s="122"/>
      <c r="D586" s="122"/>
      <c r="E586" s="122"/>
      <c r="F586" s="118"/>
      <c r="H586" s="122"/>
    </row>
    <row r="587">
      <c r="B587" s="122"/>
      <c r="C587" s="122"/>
      <c r="D587" s="122"/>
      <c r="E587" s="122"/>
      <c r="F587" s="118"/>
      <c r="H587" s="122"/>
    </row>
    <row r="588">
      <c r="B588" s="122"/>
      <c r="C588" s="122"/>
      <c r="D588" s="122"/>
      <c r="E588" s="122"/>
      <c r="F588" s="118"/>
      <c r="H588" s="122"/>
    </row>
    <row r="589">
      <c r="B589" s="122"/>
      <c r="C589" s="122"/>
      <c r="D589" s="122"/>
      <c r="E589" s="122"/>
      <c r="F589" s="118"/>
      <c r="H589" s="122"/>
    </row>
    <row r="590">
      <c r="B590" s="122"/>
      <c r="C590" s="122"/>
      <c r="D590" s="122"/>
      <c r="E590" s="122"/>
      <c r="F590" s="118"/>
      <c r="H590" s="122"/>
    </row>
    <row r="591">
      <c r="B591" s="122"/>
      <c r="C591" s="122"/>
      <c r="D591" s="122"/>
      <c r="E591" s="122"/>
      <c r="F591" s="118"/>
      <c r="H591" s="122"/>
    </row>
    <row r="592">
      <c r="B592" s="122"/>
      <c r="C592" s="122"/>
      <c r="D592" s="122"/>
      <c r="E592" s="122"/>
      <c r="F592" s="118"/>
      <c r="H592" s="122"/>
    </row>
    <row r="593">
      <c r="B593" s="122"/>
      <c r="C593" s="122"/>
      <c r="D593" s="122"/>
      <c r="E593" s="122"/>
      <c r="F593" s="118"/>
      <c r="H593" s="122"/>
    </row>
    <row r="594">
      <c r="B594" s="122"/>
      <c r="C594" s="122"/>
      <c r="D594" s="122"/>
      <c r="E594" s="122"/>
      <c r="F594" s="118"/>
      <c r="H594" s="122"/>
    </row>
    <row r="595">
      <c r="B595" s="122"/>
      <c r="C595" s="122"/>
      <c r="D595" s="122"/>
      <c r="E595" s="122"/>
      <c r="F595" s="118"/>
      <c r="H595" s="122"/>
    </row>
    <row r="596">
      <c r="B596" s="122"/>
      <c r="C596" s="122"/>
      <c r="D596" s="122"/>
      <c r="E596" s="122"/>
      <c r="F596" s="118"/>
      <c r="H596" s="122"/>
    </row>
    <row r="597">
      <c r="B597" s="122"/>
      <c r="C597" s="122"/>
      <c r="D597" s="122"/>
      <c r="E597" s="122"/>
      <c r="F597" s="118"/>
      <c r="H597" s="122"/>
    </row>
    <row r="598">
      <c r="B598" s="122"/>
      <c r="C598" s="122"/>
      <c r="D598" s="122"/>
      <c r="E598" s="122"/>
      <c r="F598" s="118"/>
      <c r="H598" s="122"/>
    </row>
    <row r="599">
      <c r="B599" s="122"/>
      <c r="C599" s="122"/>
      <c r="D599" s="122"/>
      <c r="E599" s="122"/>
      <c r="F599" s="118"/>
      <c r="H599" s="122"/>
    </row>
    <row r="600">
      <c r="B600" s="122"/>
      <c r="C600" s="122"/>
      <c r="D600" s="122"/>
      <c r="E600" s="122"/>
      <c r="F600" s="118"/>
      <c r="H600" s="122"/>
    </row>
    <row r="601">
      <c r="B601" s="122"/>
      <c r="C601" s="122"/>
      <c r="D601" s="122"/>
      <c r="E601" s="122"/>
      <c r="F601" s="118"/>
      <c r="H601" s="122"/>
    </row>
    <row r="602">
      <c r="B602" s="122"/>
      <c r="C602" s="122"/>
      <c r="D602" s="122"/>
      <c r="E602" s="122"/>
      <c r="F602" s="118"/>
      <c r="H602" s="122"/>
    </row>
    <row r="603">
      <c r="B603" s="122"/>
      <c r="C603" s="122"/>
      <c r="D603" s="122"/>
      <c r="E603" s="122"/>
      <c r="F603" s="118"/>
      <c r="H603" s="122"/>
    </row>
    <row r="604">
      <c r="B604" s="122"/>
      <c r="C604" s="122"/>
      <c r="D604" s="122"/>
      <c r="E604" s="122"/>
      <c r="F604" s="118"/>
      <c r="H604" s="122"/>
    </row>
    <row r="605">
      <c r="B605" s="122"/>
      <c r="C605" s="122"/>
      <c r="D605" s="122"/>
      <c r="E605" s="122"/>
      <c r="F605" s="118"/>
      <c r="H605" s="122"/>
    </row>
    <row r="606">
      <c r="B606" s="122"/>
      <c r="C606" s="122"/>
      <c r="D606" s="122"/>
      <c r="E606" s="122"/>
      <c r="F606" s="118"/>
      <c r="H606" s="122"/>
    </row>
    <row r="607">
      <c r="B607" s="122"/>
      <c r="C607" s="122"/>
      <c r="D607" s="122"/>
      <c r="E607" s="122"/>
      <c r="F607" s="118"/>
      <c r="H607" s="122"/>
    </row>
    <row r="608">
      <c r="B608" s="122"/>
      <c r="C608" s="122"/>
      <c r="D608" s="122"/>
      <c r="E608" s="122"/>
      <c r="F608" s="118"/>
      <c r="H608" s="122"/>
    </row>
    <row r="609">
      <c r="B609" s="122"/>
      <c r="C609" s="122"/>
      <c r="D609" s="122"/>
      <c r="E609" s="122"/>
      <c r="F609" s="118"/>
      <c r="H609" s="122"/>
    </row>
    <row r="610">
      <c r="B610" s="122"/>
      <c r="C610" s="122"/>
      <c r="D610" s="122"/>
      <c r="E610" s="122"/>
      <c r="F610" s="118"/>
      <c r="H610" s="122"/>
    </row>
    <row r="611">
      <c r="B611" s="122"/>
      <c r="C611" s="122"/>
      <c r="D611" s="122"/>
      <c r="E611" s="122"/>
      <c r="F611" s="118"/>
      <c r="H611" s="122"/>
    </row>
    <row r="612">
      <c r="B612" s="122"/>
      <c r="C612" s="122"/>
      <c r="D612" s="122"/>
      <c r="E612" s="122"/>
      <c r="F612" s="118"/>
      <c r="H612" s="122"/>
    </row>
    <row r="613">
      <c r="B613" s="122"/>
      <c r="C613" s="122"/>
      <c r="D613" s="122"/>
      <c r="E613" s="122"/>
      <c r="F613" s="118"/>
      <c r="H613" s="122"/>
    </row>
    <row r="614">
      <c r="B614" s="122"/>
      <c r="C614" s="122"/>
      <c r="D614" s="122"/>
      <c r="E614" s="122"/>
      <c r="F614" s="118"/>
      <c r="H614" s="122"/>
    </row>
    <row r="615">
      <c r="B615" s="122"/>
      <c r="C615" s="122"/>
      <c r="D615" s="122"/>
      <c r="E615" s="122"/>
      <c r="F615" s="118"/>
      <c r="H615" s="122"/>
    </row>
    <row r="616">
      <c r="B616" s="122"/>
      <c r="C616" s="122"/>
      <c r="D616" s="122"/>
      <c r="E616" s="122"/>
      <c r="F616" s="118"/>
      <c r="H616" s="122"/>
    </row>
    <row r="617">
      <c r="B617" s="122"/>
      <c r="C617" s="122"/>
      <c r="D617" s="122"/>
      <c r="E617" s="122"/>
      <c r="F617" s="118"/>
      <c r="H617" s="122"/>
    </row>
    <row r="618">
      <c r="B618" s="122"/>
      <c r="C618" s="122"/>
      <c r="D618" s="122"/>
      <c r="E618" s="122"/>
      <c r="F618" s="118"/>
      <c r="H618" s="122"/>
    </row>
    <row r="619">
      <c r="B619" s="122"/>
      <c r="C619" s="122"/>
      <c r="D619" s="122"/>
      <c r="E619" s="122"/>
      <c r="F619" s="118"/>
      <c r="H619" s="122"/>
    </row>
    <row r="620">
      <c r="B620" s="122"/>
      <c r="C620" s="122"/>
      <c r="D620" s="122"/>
      <c r="E620" s="122"/>
      <c r="F620" s="118"/>
      <c r="H620" s="122"/>
    </row>
    <row r="621">
      <c r="B621" s="122"/>
      <c r="C621" s="122"/>
      <c r="D621" s="122"/>
      <c r="E621" s="122"/>
      <c r="F621" s="118"/>
      <c r="H621" s="122"/>
    </row>
    <row r="622">
      <c r="B622" s="122"/>
      <c r="C622" s="122"/>
      <c r="D622" s="122"/>
      <c r="E622" s="122"/>
      <c r="F622" s="118"/>
      <c r="H622" s="122"/>
    </row>
    <row r="623">
      <c r="B623" s="122"/>
      <c r="C623" s="122"/>
      <c r="D623" s="122"/>
      <c r="E623" s="122"/>
      <c r="F623" s="118"/>
      <c r="H623" s="122"/>
    </row>
    <row r="624">
      <c r="B624" s="122"/>
      <c r="C624" s="122"/>
      <c r="D624" s="122"/>
      <c r="E624" s="122"/>
      <c r="F624" s="118"/>
      <c r="H624" s="122"/>
    </row>
    <row r="625">
      <c r="B625" s="122"/>
      <c r="C625" s="122"/>
      <c r="D625" s="122"/>
      <c r="E625" s="122"/>
      <c r="F625" s="118"/>
      <c r="H625" s="122"/>
    </row>
    <row r="626">
      <c r="B626" s="122"/>
      <c r="C626" s="122"/>
      <c r="D626" s="122"/>
      <c r="E626" s="122"/>
      <c r="F626" s="118"/>
      <c r="H626" s="122"/>
    </row>
    <row r="627">
      <c r="B627" s="122"/>
      <c r="C627" s="122"/>
      <c r="D627" s="122"/>
      <c r="E627" s="122"/>
      <c r="F627" s="118"/>
      <c r="H627" s="122"/>
    </row>
    <row r="628">
      <c r="B628" s="122"/>
      <c r="C628" s="122"/>
      <c r="D628" s="122"/>
      <c r="E628" s="122"/>
      <c r="F628" s="118"/>
      <c r="H628" s="122"/>
    </row>
    <row r="629">
      <c r="B629" s="122"/>
      <c r="C629" s="122"/>
      <c r="D629" s="122"/>
      <c r="E629" s="122"/>
      <c r="F629" s="118"/>
      <c r="H629" s="122"/>
    </row>
    <row r="630">
      <c r="B630" s="122"/>
      <c r="C630" s="122"/>
      <c r="D630" s="122"/>
      <c r="E630" s="122"/>
      <c r="F630" s="118"/>
      <c r="H630" s="122"/>
    </row>
    <row r="631">
      <c r="B631" s="122"/>
      <c r="C631" s="122"/>
      <c r="D631" s="122"/>
      <c r="E631" s="122"/>
      <c r="F631" s="118"/>
      <c r="H631" s="122"/>
    </row>
    <row r="632">
      <c r="B632" s="122"/>
      <c r="C632" s="122"/>
      <c r="D632" s="122"/>
      <c r="E632" s="122"/>
      <c r="F632" s="118"/>
      <c r="H632" s="122"/>
    </row>
    <row r="633">
      <c r="B633" s="122"/>
      <c r="C633" s="122"/>
      <c r="D633" s="122"/>
      <c r="E633" s="122"/>
      <c r="F633" s="118"/>
      <c r="H633" s="122"/>
    </row>
    <row r="634">
      <c r="B634" s="122"/>
      <c r="C634" s="122"/>
      <c r="D634" s="122"/>
      <c r="E634" s="122"/>
      <c r="F634" s="118"/>
      <c r="H634" s="122"/>
    </row>
    <row r="635">
      <c r="B635" s="122"/>
      <c r="C635" s="122"/>
      <c r="D635" s="122"/>
      <c r="E635" s="122"/>
      <c r="F635" s="118"/>
      <c r="H635" s="122"/>
    </row>
    <row r="636">
      <c r="B636" s="122"/>
      <c r="C636" s="122"/>
      <c r="D636" s="122"/>
      <c r="E636" s="122"/>
      <c r="F636" s="118"/>
      <c r="H636" s="122"/>
    </row>
    <row r="637">
      <c r="B637" s="122"/>
      <c r="C637" s="122"/>
      <c r="D637" s="122"/>
      <c r="E637" s="122"/>
      <c r="F637" s="118"/>
      <c r="H637" s="122"/>
    </row>
    <row r="638">
      <c r="B638" s="122"/>
      <c r="C638" s="122"/>
      <c r="D638" s="122"/>
      <c r="E638" s="122"/>
      <c r="F638" s="118"/>
      <c r="H638" s="122"/>
    </row>
    <row r="639">
      <c r="B639" s="122"/>
      <c r="C639" s="122"/>
      <c r="D639" s="122"/>
      <c r="E639" s="122"/>
      <c r="F639" s="118"/>
      <c r="H639" s="122"/>
    </row>
    <row r="640">
      <c r="B640" s="122"/>
      <c r="C640" s="122"/>
      <c r="D640" s="122"/>
      <c r="E640" s="122"/>
      <c r="F640" s="118"/>
      <c r="H640" s="122"/>
    </row>
    <row r="641">
      <c r="B641" s="122"/>
      <c r="C641" s="122"/>
      <c r="D641" s="122"/>
      <c r="E641" s="122"/>
      <c r="F641" s="118"/>
      <c r="H641" s="122"/>
    </row>
    <row r="642">
      <c r="B642" s="122"/>
      <c r="C642" s="122"/>
      <c r="D642" s="122"/>
      <c r="E642" s="122"/>
      <c r="F642" s="118"/>
      <c r="H642" s="122"/>
    </row>
    <row r="643">
      <c r="B643" s="122"/>
      <c r="C643" s="122"/>
      <c r="D643" s="122"/>
      <c r="E643" s="122"/>
      <c r="F643" s="118"/>
      <c r="H643" s="122"/>
    </row>
    <row r="644">
      <c r="B644" s="122"/>
      <c r="C644" s="122"/>
      <c r="D644" s="122"/>
      <c r="E644" s="122"/>
      <c r="F644" s="118"/>
      <c r="H644" s="122"/>
    </row>
    <row r="645">
      <c r="B645" s="122"/>
      <c r="C645" s="122"/>
      <c r="D645" s="122"/>
      <c r="E645" s="122"/>
      <c r="F645" s="118"/>
      <c r="H645" s="122"/>
    </row>
    <row r="646">
      <c r="B646" s="122"/>
      <c r="C646" s="122"/>
      <c r="D646" s="122"/>
      <c r="E646" s="122"/>
      <c r="F646" s="118"/>
      <c r="H646" s="122"/>
    </row>
    <row r="647">
      <c r="B647" s="122"/>
      <c r="C647" s="122"/>
      <c r="D647" s="122"/>
      <c r="E647" s="122"/>
      <c r="F647" s="118"/>
      <c r="H647" s="122"/>
    </row>
    <row r="648">
      <c r="B648" s="122"/>
      <c r="C648" s="122"/>
      <c r="D648" s="122"/>
      <c r="E648" s="122"/>
      <c r="F648" s="118"/>
      <c r="H648" s="122"/>
    </row>
    <row r="649">
      <c r="B649" s="122"/>
      <c r="C649" s="122"/>
      <c r="D649" s="122"/>
      <c r="E649" s="122"/>
      <c r="F649" s="118"/>
      <c r="H649" s="122"/>
    </row>
    <row r="650">
      <c r="B650" s="122"/>
      <c r="C650" s="122"/>
      <c r="D650" s="122"/>
      <c r="E650" s="122"/>
      <c r="F650" s="118"/>
      <c r="H650" s="122"/>
    </row>
    <row r="651">
      <c r="B651" s="122"/>
      <c r="C651" s="122"/>
      <c r="D651" s="122"/>
      <c r="E651" s="122"/>
      <c r="F651" s="118"/>
      <c r="H651" s="122"/>
    </row>
    <row r="652">
      <c r="B652" s="122"/>
      <c r="C652" s="122"/>
      <c r="D652" s="122"/>
      <c r="E652" s="122"/>
      <c r="F652" s="118"/>
      <c r="H652" s="122"/>
    </row>
    <row r="653">
      <c r="B653" s="122"/>
      <c r="C653" s="122"/>
      <c r="D653" s="122"/>
      <c r="E653" s="122"/>
      <c r="F653" s="118"/>
      <c r="H653" s="122"/>
    </row>
    <row r="654">
      <c r="B654" s="122"/>
      <c r="C654" s="122"/>
      <c r="D654" s="122"/>
      <c r="E654" s="122"/>
      <c r="F654" s="118"/>
      <c r="H654" s="122"/>
    </row>
    <row r="655">
      <c r="B655" s="122"/>
      <c r="C655" s="122"/>
      <c r="D655" s="122"/>
      <c r="E655" s="122"/>
      <c r="F655" s="118"/>
      <c r="H655" s="122"/>
    </row>
    <row r="656">
      <c r="B656" s="122"/>
      <c r="C656" s="122"/>
      <c r="D656" s="122"/>
      <c r="E656" s="122"/>
      <c r="F656" s="118"/>
      <c r="H656" s="122"/>
    </row>
    <row r="657">
      <c r="B657" s="122"/>
      <c r="C657" s="122"/>
      <c r="D657" s="122"/>
      <c r="E657" s="122"/>
      <c r="F657" s="118"/>
      <c r="H657" s="122"/>
    </row>
    <row r="658">
      <c r="B658" s="122"/>
      <c r="C658" s="122"/>
      <c r="D658" s="122"/>
      <c r="E658" s="122"/>
      <c r="F658" s="118"/>
      <c r="H658" s="122"/>
    </row>
    <row r="659">
      <c r="B659" s="122"/>
      <c r="C659" s="122"/>
      <c r="D659" s="122"/>
      <c r="E659" s="122"/>
      <c r="F659" s="118"/>
      <c r="H659" s="122"/>
    </row>
    <row r="660">
      <c r="B660" s="122"/>
      <c r="C660" s="122"/>
      <c r="D660" s="122"/>
      <c r="E660" s="122"/>
      <c r="F660" s="118"/>
      <c r="H660" s="122"/>
    </row>
    <row r="661">
      <c r="B661" s="122"/>
      <c r="C661" s="122"/>
      <c r="D661" s="122"/>
      <c r="E661" s="122"/>
      <c r="F661" s="118"/>
      <c r="H661" s="122"/>
    </row>
    <row r="662">
      <c r="B662" s="122"/>
      <c r="C662" s="122"/>
      <c r="D662" s="122"/>
      <c r="E662" s="122"/>
      <c r="F662" s="118"/>
      <c r="H662" s="122"/>
    </row>
    <row r="663">
      <c r="B663" s="122"/>
      <c r="C663" s="122"/>
      <c r="D663" s="122"/>
      <c r="E663" s="122"/>
      <c r="F663" s="118"/>
      <c r="H663" s="122"/>
    </row>
    <row r="664">
      <c r="B664" s="122"/>
      <c r="C664" s="122"/>
      <c r="D664" s="122"/>
      <c r="E664" s="122"/>
      <c r="F664" s="118"/>
      <c r="H664" s="122"/>
    </row>
    <row r="665">
      <c r="B665" s="122"/>
      <c r="C665" s="122"/>
      <c r="D665" s="122"/>
      <c r="E665" s="122"/>
      <c r="F665" s="118"/>
      <c r="H665" s="122"/>
    </row>
    <row r="666">
      <c r="B666" s="122"/>
      <c r="C666" s="122"/>
      <c r="D666" s="122"/>
      <c r="E666" s="122"/>
      <c r="F666" s="118"/>
      <c r="H666" s="122"/>
    </row>
    <row r="667">
      <c r="B667" s="122"/>
      <c r="C667" s="122"/>
      <c r="D667" s="122"/>
      <c r="E667" s="122"/>
      <c r="F667" s="118"/>
      <c r="H667" s="122"/>
    </row>
    <row r="668">
      <c r="B668" s="122"/>
      <c r="C668" s="122"/>
      <c r="D668" s="122"/>
      <c r="E668" s="122"/>
      <c r="F668" s="118"/>
      <c r="H668" s="122"/>
    </row>
    <row r="669">
      <c r="B669" s="122"/>
      <c r="C669" s="122"/>
      <c r="D669" s="122"/>
      <c r="E669" s="122"/>
      <c r="F669" s="118"/>
      <c r="H669" s="122"/>
    </row>
    <row r="670">
      <c r="B670" s="122"/>
      <c r="C670" s="122"/>
      <c r="D670" s="122"/>
      <c r="E670" s="122"/>
      <c r="F670" s="118"/>
      <c r="H670" s="122"/>
    </row>
    <row r="671">
      <c r="B671" s="122"/>
      <c r="C671" s="122"/>
      <c r="D671" s="122"/>
      <c r="E671" s="122"/>
      <c r="F671" s="118"/>
      <c r="H671" s="122"/>
    </row>
    <row r="672">
      <c r="B672" s="122"/>
      <c r="C672" s="122"/>
      <c r="D672" s="122"/>
      <c r="E672" s="122"/>
      <c r="F672" s="118"/>
      <c r="H672" s="122"/>
    </row>
    <row r="673">
      <c r="B673" s="122"/>
      <c r="C673" s="122"/>
      <c r="D673" s="122"/>
      <c r="E673" s="122"/>
      <c r="F673" s="118"/>
      <c r="H673" s="122"/>
    </row>
    <row r="674">
      <c r="B674" s="122"/>
      <c r="C674" s="122"/>
      <c r="D674" s="122"/>
      <c r="E674" s="122"/>
      <c r="F674" s="118"/>
      <c r="H674" s="122"/>
    </row>
    <row r="675">
      <c r="B675" s="122"/>
      <c r="C675" s="122"/>
      <c r="D675" s="122"/>
      <c r="E675" s="122"/>
      <c r="F675" s="118"/>
      <c r="H675" s="122"/>
    </row>
    <row r="676">
      <c r="B676" s="122"/>
      <c r="C676" s="122"/>
      <c r="D676" s="122"/>
      <c r="E676" s="122"/>
      <c r="F676" s="118"/>
      <c r="H676" s="122"/>
    </row>
    <row r="677">
      <c r="B677" s="122"/>
      <c r="C677" s="122"/>
      <c r="D677" s="122"/>
      <c r="E677" s="122"/>
      <c r="F677" s="118"/>
      <c r="H677" s="122"/>
    </row>
    <row r="678">
      <c r="B678" s="122"/>
      <c r="C678" s="122"/>
      <c r="D678" s="122"/>
      <c r="E678" s="122"/>
      <c r="F678" s="118"/>
      <c r="H678" s="122"/>
    </row>
    <row r="679">
      <c r="B679" s="122"/>
      <c r="C679" s="122"/>
      <c r="D679" s="122"/>
      <c r="E679" s="122"/>
      <c r="F679" s="118"/>
      <c r="H679" s="122"/>
    </row>
    <row r="680">
      <c r="B680" s="122"/>
      <c r="C680" s="122"/>
      <c r="D680" s="122"/>
      <c r="E680" s="122"/>
      <c r="F680" s="118"/>
      <c r="H680" s="122"/>
    </row>
    <row r="681">
      <c r="B681" s="122"/>
      <c r="C681" s="122"/>
      <c r="D681" s="122"/>
      <c r="E681" s="122"/>
      <c r="F681" s="118"/>
      <c r="H681" s="122"/>
    </row>
    <row r="682">
      <c r="B682" s="122"/>
      <c r="C682" s="122"/>
      <c r="D682" s="122"/>
      <c r="E682" s="122"/>
      <c r="F682" s="118"/>
      <c r="H682" s="122"/>
    </row>
    <row r="683">
      <c r="B683" s="122"/>
      <c r="C683" s="122"/>
      <c r="D683" s="122"/>
      <c r="E683" s="122"/>
      <c r="F683" s="118"/>
      <c r="H683" s="122"/>
    </row>
    <row r="684">
      <c r="B684" s="122"/>
      <c r="C684" s="122"/>
      <c r="D684" s="122"/>
      <c r="E684" s="122"/>
      <c r="F684" s="118"/>
      <c r="H684" s="122"/>
    </row>
    <row r="685">
      <c r="B685" s="122"/>
      <c r="C685" s="122"/>
      <c r="D685" s="122"/>
      <c r="E685" s="122"/>
      <c r="F685" s="118"/>
      <c r="H685" s="122"/>
    </row>
    <row r="686">
      <c r="B686" s="122"/>
      <c r="C686" s="122"/>
      <c r="D686" s="122"/>
      <c r="E686" s="122"/>
      <c r="F686" s="118"/>
      <c r="H686" s="122"/>
    </row>
    <row r="687">
      <c r="B687" s="122"/>
      <c r="C687" s="122"/>
      <c r="D687" s="122"/>
      <c r="E687" s="122"/>
      <c r="F687" s="118"/>
      <c r="H687" s="122"/>
    </row>
    <row r="688">
      <c r="B688" s="122"/>
      <c r="C688" s="122"/>
      <c r="D688" s="122"/>
      <c r="E688" s="122"/>
      <c r="F688" s="118"/>
      <c r="H688" s="122"/>
    </row>
    <row r="689">
      <c r="B689" s="122"/>
      <c r="C689" s="122"/>
      <c r="D689" s="122"/>
      <c r="E689" s="122"/>
      <c r="F689" s="118"/>
      <c r="H689" s="122"/>
    </row>
    <row r="690">
      <c r="B690" s="122"/>
      <c r="C690" s="122"/>
      <c r="D690" s="122"/>
      <c r="E690" s="122"/>
      <c r="F690" s="118"/>
      <c r="H690" s="122"/>
    </row>
    <row r="691">
      <c r="B691" s="122"/>
      <c r="C691" s="122"/>
      <c r="D691" s="122"/>
      <c r="E691" s="122"/>
      <c r="F691" s="118"/>
      <c r="H691" s="122"/>
    </row>
    <row r="692">
      <c r="B692" s="122"/>
      <c r="C692" s="122"/>
      <c r="D692" s="122"/>
      <c r="E692" s="122"/>
      <c r="F692" s="118"/>
      <c r="H692" s="122"/>
    </row>
    <row r="693">
      <c r="B693" s="122"/>
      <c r="C693" s="122"/>
      <c r="D693" s="122"/>
      <c r="E693" s="122"/>
      <c r="F693" s="118"/>
      <c r="H693" s="122"/>
    </row>
    <row r="694">
      <c r="B694" s="122"/>
      <c r="C694" s="122"/>
      <c r="D694" s="122"/>
      <c r="E694" s="122"/>
      <c r="F694" s="118"/>
      <c r="H694" s="122"/>
    </row>
    <row r="695">
      <c r="B695" s="122"/>
      <c r="C695" s="122"/>
      <c r="D695" s="122"/>
      <c r="E695" s="122"/>
      <c r="F695" s="118"/>
      <c r="H695" s="122"/>
    </row>
    <row r="696">
      <c r="B696" s="122"/>
      <c r="C696" s="122"/>
      <c r="D696" s="122"/>
      <c r="E696" s="122"/>
      <c r="F696" s="118"/>
      <c r="H696" s="122"/>
    </row>
    <row r="697">
      <c r="B697" s="122"/>
      <c r="C697" s="122"/>
      <c r="D697" s="122"/>
      <c r="E697" s="122"/>
      <c r="F697" s="118"/>
      <c r="H697" s="122"/>
    </row>
    <row r="698">
      <c r="B698" s="122"/>
      <c r="C698" s="122"/>
      <c r="D698" s="122"/>
      <c r="E698" s="122"/>
      <c r="F698" s="118"/>
      <c r="H698" s="122"/>
    </row>
    <row r="699">
      <c r="B699" s="122"/>
      <c r="C699" s="122"/>
      <c r="D699" s="122"/>
      <c r="E699" s="122"/>
      <c r="F699" s="118"/>
      <c r="H699" s="122"/>
    </row>
    <row r="700">
      <c r="B700" s="122"/>
      <c r="C700" s="122"/>
      <c r="D700" s="122"/>
      <c r="E700" s="122"/>
      <c r="F700" s="118"/>
      <c r="H700" s="122"/>
    </row>
    <row r="701">
      <c r="B701" s="122"/>
      <c r="C701" s="122"/>
      <c r="D701" s="122"/>
      <c r="E701" s="122"/>
      <c r="F701" s="118"/>
      <c r="H701" s="122"/>
    </row>
    <row r="702">
      <c r="B702" s="122"/>
      <c r="C702" s="122"/>
      <c r="D702" s="122"/>
      <c r="E702" s="122"/>
      <c r="F702" s="118"/>
      <c r="H702" s="122"/>
    </row>
    <row r="703">
      <c r="B703" s="122"/>
      <c r="C703" s="122"/>
      <c r="D703" s="122"/>
      <c r="E703" s="122"/>
      <c r="F703" s="118"/>
      <c r="H703" s="122"/>
    </row>
    <row r="704">
      <c r="B704" s="122"/>
      <c r="C704" s="122"/>
      <c r="D704" s="122"/>
      <c r="E704" s="122"/>
      <c r="F704" s="118"/>
      <c r="H704" s="122"/>
    </row>
    <row r="705">
      <c r="B705" s="122"/>
      <c r="C705" s="122"/>
      <c r="D705" s="122"/>
      <c r="E705" s="122"/>
      <c r="F705" s="118"/>
      <c r="H705" s="122"/>
    </row>
    <row r="706">
      <c r="B706" s="122"/>
      <c r="C706" s="122"/>
      <c r="D706" s="122"/>
      <c r="E706" s="122"/>
      <c r="F706" s="118"/>
      <c r="H706" s="122"/>
    </row>
    <row r="707">
      <c r="B707" s="122"/>
      <c r="C707" s="122"/>
      <c r="D707" s="122"/>
      <c r="E707" s="122"/>
      <c r="F707" s="118"/>
      <c r="H707" s="122"/>
    </row>
    <row r="708">
      <c r="B708" s="122"/>
      <c r="C708" s="122"/>
      <c r="D708" s="122"/>
      <c r="E708" s="122"/>
      <c r="F708" s="118"/>
      <c r="H708" s="122"/>
    </row>
    <row r="709">
      <c r="B709" s="122"/>
      <c r="C709" s="122"/>
      <c r="D709" s="122"/>
      <c r="E709" s="122"/>
      <c r="F709" s="118"/>
      <c r="H709" s="122"/>
    </row>
    <row r="710">
      <c r="B710" s="122"/>
      <c r="C710" s="122"/>
      <c r="D710" s="122"/>
      <c r="E710" s="122"/>
      <c r="F710" s="118"/>
      <c r="H710" s="122"/>
    </row>
    <row r="711">
      <c r="B711" s="122"/>
      <c r="C711" s="122"/>
      <c r="D711" s="122"/>
      <c r="E711" s="122"/>
      <c r="F711" s="118"/>
      <c r="H711" s="122"/>
    </row>
    <row r="712">
      <c r="B712" s="122"/>
      <c r="C712" s="122"/>
      <c r="D712" s="122"/>
      <c r="E712" s="122"/>
      <c r="F712" s="118"/>
      <c r="H712" s="122"/>
    </row>
    <row r="713">
      <c r="B713" s="122"/>
      <c r="C713" s="122"/>
      <c r="D713" s="122"/>
      <c r="E713" s="122"/>
      <c r="F713" s="118"/>
      <c r="H713" s="122"/>
    </row>
    <row r="714">
      <c r="B714" s="122"/>
      <c r="C714" s="122"/>
      <c r="D714" s="122"/>
      <c r="E714" s="122"/>
      <c r="F714" s="118"/>
      <c r="H714" s="122"/>
    </row>
    <row r="715">
      <c r="B715" s="122"/>
      <c r="C715" s="122"/>
      <c r="D715" s="122"/>
      <c r="E715" s="122"/>
      <c r="F715" s="118"/>
      <c r="H715" s="122"/>
    </row>
    <row r="716">
      <c r="B716" s="122"/>
      <c r="C716" s="122"/>
      <c r="D716" s="122"/>
      <c r="E716" s="122"/>
      <c r="F716" s="118"/>
      <c r="H716" s="122"/>
    </row>
    <row r="717">
      <c r="B717" s="122"/>
      <c r="C717" s="122"/>
      <c r="D717" s="122"/>
      <c r="E717" s="122"/>
      <c r="F717" s="118"/>
      <c r="H717" s="122"/>
    </row>
    <row r="718">
      <c r="B718" s="122"/>
      <c r="C718" s="122"/>
      <c r="D718" s="122"/>
      <c r="E718" s="122"/>
      <c r="F718" s="118"/>
      <c r="H718" s="122"/>
    </row>
    <row r="719">
      <c r="B719" s="122"/>
      <c r="C719" s="122"/>
      <c r="D719" s="122"/>
      <c r="E719" s="122"/>
      <c r="F719" s="118"/>
      <c r="H719" s="122"/>
    </row>
    <row r="720">
      <c r="B720" s="122"/>
      <c r="C720" s="122"/>
      <c r="D720" s="122"/>
      <c r="E720" s="122"/>
      <c r="F720" s="118"/>
      <c r="H720" s="122"/>
    </row>
    <row r="721">
      <c r="B721" s="122"/>
      <c r="C721" s="122"/>
      <c r="D721" s="122"/>
      <c r="E721" s="122"/>
      <c r="F721" s="118"/>
      <c r="H721" s="122"/>
    </row>
    <row r="722">
      <c r="B722" s="122"/>
      <c r="C722" s="122"/>
      <c r="D722" s="122"/>
      <c r="E722" s="122"/>
      <c r="F722" s="118"/>
      <c r="H722" s="122"/>
    </row>
    <row r="723">
      <c r="B723" s="122"/>
      <c r="C723" s="122"/>
      <c r="D723" s="122"/>
      <c r="E723" s="122"/>
      <c r="F723" s="118"/>
      <c r="H723" s="122"/>
    </row>
    <row r="724">
      <c r="B724" s="122"/>
      <c r="C724" s="122"/>
      <c r="D724" s="122"/>
      <c r="E724" s="122"/>
      <c r="F724" s="118"/>
      <c r="H724" s="122"/>
    </row>
    <row r="725">
      <c r="B725" s="122"/>
      <c r="C725" s="122"/>
      <c r="D725" s="122"/>
      <c r="E725" s="122"/>
      <c r="F725" s="118"/>
      <c r="H725" s="122"/>
    </row>
    <row r="726">
      <c r="B726" s="122"/>
      <c r="C726" s="122"/>
      <c r="D726" s="122"/>
      <c r="E726" s="122"/>
      <c r="F726" s="118"/>
      <c r="H726" s="122"/>
    </row>
    <row r="727">
      <c r="B727" s="122"/>
      <c r="C727" s="122"/>
      <c r="D727" s="122"/>
      <c r="E727" s="122"/>
      <c r="F727" s="118"/>
      <c r="H727" s="122"/>
    </row>
    <row r="728">
      <c r="B728" s="122"/>
      <c r="C728" s="122"/>
      <c r="D728" s="122"/>
      <c r="E728" s="122"/>
      <c r="F728" s="118"/>
      <c r="H728" s="122"/>
    </row>
    <row r="729">
      <c r="B729" s="122"/>
      <c r="C729" s="122"/>
      <c r="D729" s="122"/>
      <c r="E729" s="122"/>
      <c r="F729" s="118"/>
      <c r="H729" s="122"/>
    </row>
    <row r="730">
      <c r="B730" s="122"/>
      <c r="C730" s="122"/>
      <c r="D730" s="122"/>
      <c r="E730" s="122"/>
      <c r="F730" s="118"/>
      <c r="H730" s="122"/>
    </row>
    <row r="731">
      <c r="B731" s="122"/>
      <c r="C731" s="122"/>
      <c r="D731" s="122"/>
      <c r="E731" s="122"/>
      <c r="F731" s="118"/>
      <c r="H731" s="122"/>
    </row>
    <row r="732">
      <c r="B732" s="122"/>
      <c r="C732" s="122"/>
      <c r="D732" s="122"/>
      <c r="E732" s="122"/>
      <c r="F732" s="118"/>
      <c r="H732" s="122"/>
    </row>
    <row r="733">
      <c r="B733" s="122"/>
      <c r="C733" s="122"/>
      <c r="D733" s="122"/>
      <c r="E733" s="122"/>
      <c r="F733" s="118"/>
      <c r="H733" s="122"/>
    </row>
    <row r="734">
      <c r="B734" s="122"/>
      <c r="C734" s="122"/>
      <c r="D734" s="122"/>
      <c r="E734" s="122"/>
      <c r="F734" s="118"/>
      <c r="H734" s="122"/>
    </row>
    <row r="735">
      <c r="B735" s="122"/>
      <c r="C735" s="122"/>
      <c r="D735" s="122"/>
      <c r="E735" s="122"/>
      <c r="F735" s="118"/>
      <c r="H735" s="122"/>
    </row>
    <row r="736">
      <c r="B736" s="122"/>
      <c r="C736" s="122"/>
      <c r="D736" s="122"/>
      <c r="E736" s="122"/>
      <c r="F736" s="118"/>
      <c r="H736" s="122"/>
    </row>
    <row r="737">
      <c r="B737" s="122"/>
      <c r="C737" s="122"/>
      <c r="D737" s="122"/>
      <c r="E737" s="122"/>
      <c r="F737" s="118"/>
      <c r="H737" s="122"/>
    </row>
    <row r="738">
      <c r="B738" s="122"/>
      <c r="C738" s="122"/>
      <c r="D738" s="122"/>
      <c r="E738" s="122"/>
      <c r="F738" s="118"/>
      <c r="H738" s="122"/>
    </row>
    <row r="739">
      <c r="B739" s="122"/>
      <c r="C739" s="122"/>
      <c r="D739" s="122"/>
      <c r="E739" s="122"/>
      <c r="F739" s="118"/>
      <c r="H739" s="122"/>
    </row>
    <row r="740">
      <c r="B740" s="122"/>
      <c r="C740" s="122"/>
      <c r="D740" s="122"/>
      <c r="E740" s="122"/>
      <c r="F740" s="118"/>
      <c r="H740" s="122"/>
    </row>
    <row r="741">
      <c r="B741" s="122"/>
      <c r="C741" s="122"/>
      <c r="D741" s="122"/>
      <c r="E741" s="122"/>
      <c r="F741" s="118"/>
      <c r="H741" s="122"/>
    </row>
    <row r="742">
      <c r="B742" s="122"/>
      <c r="C742" s="122"/>
      <c r="D742" s="122"/>
      <c r="E742" s="122"/>
      <c r="F742" s="118"/>
      <c r="H742" s="122"/>
    </row>
    <row r="743">
      <c r="B743" s="122"/>
      <c r="C743" s="122"/>
      <c r="D743" s="122"/>
      <c r="E743" s="122"/>
      <c r="F743" s="118"/>
      <c r="H743" s="122"/>
    </row>
    <row r="744">
      <c r="B744" s="122"/>
      <c r="C744" s="122"/>
      <c r="D744" s="122"/>
      <c r="E744" s="122"/>
      <c r="F744" s="118"/>
      <c r="H744" s="122"/>
    </row>
    <row r="745">
      <c r="B745" s="122"/>
      <c r="C745" s="122"/>
      <c r="D745" s="122"/>
      <c r="E745" s="122"/>
      <c r="F745" s="118"/>
      <c r="H745" s="122"/>
    </row>
    <row r="746">
      <c r="B746" s="122"/>
      <c r="C746" s="122"/>
      <c r="D746" s="122"/>
      <c r="E746" s="122"/>
      <c r="F746" s="118"/>
      <c r="H746" s="122"/>
    </row>
    <row r="747">
      <c r="B747" s="122"/>
      <c r="C747" s="122"/>
      <c r="D747" s="122"/>
      <c r="E747" s="122"/>
      <c r="F747" s="118"/>
      <c r="H747" s="122"/>
    </row>
    <row r="748">
      <c r="B748" s="122"/>
      <c r="C748" s="122"/>
      <c r="D748" s="122"/>
      <c r="E748" s="122"/>
      <c r="F748" s="118"/>
      <c r="H748" s="122"/>
    </row>
    <row r="749">
      <c r="B749" s="122"/>
      <c r="C749" s="122"/>
      <c r="D749" s="122"/>
      <c r="E749" s="122"/>
      <c r="F749" s="118"/>
      <c r="H749" s="122"/>
    </row>
    <row r="750">
      <c r="B750" s="122"/>
      <c r="C750" s="122"/>
      <c r="D750" s="122"/>
      <c r="E750" s="122"/>
      <c r="F750" s="118"/>
      <c r="H750" s="122"/>
    </row>
    <row r="751">
      <c r="B751" s="122"/>
      <c r="C751" s="122"/>
      <c r="D751" s="122"/>
      <c r="E751" s="122"/>
      <c r="F751" s="118"/>
      <c r="H751" s="122"/>
    </row>
    <row r="752">
      <c r="B752" s="122"/>
      <c r="C752" s="122"/>
      <c r="D752" s="122"/>
      <c r="E752" s="122"/>
      <c r="F752" s="118"/>
      <c r="H752" s="122"/>
    </row>
    <row r="753">
      <c r="B753" s="122"/>
      <c r="C753" s="122"/>
      <c r="D753" s="122"/>
      <c r="E753" s="122"/>
      <c r="F753" s="118"/>
      <c r="H753" s="122"/>
    </row>
    <row r="754">
      <c r="B754" s="122"/>
      <c r="C754" s="122"/>
      <c r="D754" s="122"/>
      <c r="E754" s="122"/>
      <c r="F754" s="118"/>
      <c r="H754" s="122"/>
    </row>
    <row r="755">
      <c r="B755" s="122"/>
      <c r="C755" s="122"/>
      <c r="D755" s="122"/>
      <c r="E755" s="122"/>
      <c r="F755" s="118"/>
      <c r="H755" s="122"/>
    </row>
    <row r="756">
      <c r="B756" s="122"/>
      <c r="C756" s="122"/>
      <c r="D756" s="122"/>
      <c r="E756" s="122"/>
      <c r="F756" s="118"/>
      <c r="H756" s="122"/>
    </row>
    <row r="757">
      <c r="B757" s="122"/>
      <c r="C757" s="122"/>
      <c r="D757" s="122"/>
      <c r="E757" s="122"/>
      <c r="F757" s="118"/>
      <c r="H757" s="122"/>
    </row>
    <row r="758">
      <c r="B758" s="122"/>
      <c r="C758" s="122"/>
      <c r="D758" s="122"/>
      <c r="E758" s="122"/>
      <c r="F758" s="118"/>
      <c r="H758" s="122"/>
    </row>
    <row r="759">
      <c r="B759" s="122"/>
      <c r="C759" s="122"/>
      <c r="D759" s="122"/>
      <c r="E759" s="122"/>
      <c r="F759" s="118"/>
      <c r="H759" s="122"/>
    </row>
    <row r="760">
      <c r="B760" s="122"/>
      <c r="C760" s="122"/>
      <c r="D760" s="122"/>
      <c r="E760" s="122"/>
      <c r="F760" s="118"/>
      <c r="H760" s="122"/>
    </row>
    <row r="761">
      <c r="B761" s="122"/>
      <c r="C761" s="122"/>
      <c r="D761" s="122"/>
      <c r="E761" s="122"/>
      <c r="F761" s="118"/>
      <c r="H761" s="122"/>
    </row>
    <row r="762">
      <c r="B762" s="122"/>
      <c r="C762" s="122"/>
      <c r="D762" s="122"/>
      <c r="E762" s="122"/>
      <c r="F762" s="118"/>
      <c r="H762" s="122"/>
    </row>
    <row r="763">
      <c r="B763" s="122"/>
      <c r="C763" s="122"/>
      <c r="D763" s="122"/>
      <c r="E763" s="122"/>
      <c r="F763" s="118"/>
      <c r="H763" s="122"/>
    </row>
    <row r="764">
      <c r="B764" s="122"/>
      <c r="C764" s="122"/>
      <c r="D764" s="122"/>
      <c r="E764" s="122"/>
      <c r="F764" s="118"/>
      <c r="H764" s="122"/>
    </row>
    <row r="765">
      <c r="B765" s="122"/>
      <c r="C765" s="122"/>
      <c r="D765" s="122"/>
      <c r="E765" s="122"/>
      <c r="F765" s="118"/>
      <c r="H765" s="122"/>
    </row>
    <row r="766">
      <c r="B766" s="122"/>
      <c r="C766" s="122"/>
      <c r="D766" s="122"/>
      <c r="E766" s="122"/>
      <c r="F766" s="118"/>
      <c r="H766" s="122"/>
    </row>
    <row r="767">
      <c r="B767" s="122"/>
      <c r="C767" s="122"/>
      <c r="D767" s="122"/>
      <c r="E767" s="122"/>
      <c r="F767" s="118"/>
      <c r="H767" s="122"/>
    </row>
    <row r="768">
      <c r="B768" s="122"/>
      <c r="C768" s="122"/>
      <c r="D768" s="122"/>
      <c r="E768" s="122"/>
      <c r="F768" s="118"/>
      <c r="H768" s="122"/>
    </row>
    <row r="769">
      <c r="B769" s="122"/>
      <c r="C769" s="122"/>
      <c r="D769" s="122"/>
      <c r="E769" s="122"/>
      <c r="F769" s="118"/>
      <c r="H769" s="122"/>
    </row>
    <row r="770">
      <c r="B770" s="122"/>
      <c r="C770" s="122"/>
      <c r="D770" s="122"/>
      <c r="E770" s="122"/>
      <c r="F770" s="118"/>
      <c r="H770" s="122"/>
    </row>
    <row r="771">
      <c r="B771" s="122"/>
      <c r="C771" s="122"/>
      <c r="D771" s="122"/>
      <c r="E771" s="122"/>
      <c r="F771" s="118"/>
      <c r="H771" s="122"/>
    </row>
    <row r="772">
      <c r="B772" s="122"/>
      <c r="C772" s="122"/>
      <c r="D772" s="122"/>
      <c r="E772" s="122"/>
      <c r="F772" s="118"/>
      <c r="H772" s="122"/>
    </row>
    <row r="773">
      <c r="B773" s="122"/>
      <c r="C773" s="122"/>
      <c r="D773" s="122"/>
      <c r="E773" s="122"/>
      <c r="F773" s="118"/>
      <c r="H773" s="122"/>
    </row>
    <row r="774">
      <c r="B774" s="122"/>
      <c r="C774" s="122"/>
      <c r="D774" s="122"/>
      <c r="E774" s="122"/>
      <c r="F774" s="118"/>
      <c r="H774" s="122"/>
    </row>
    <row r="775">
      <c r="B775" s="122"/>
      <c r="C775" s="122"/>
      <c r="D775" s="122"/>
      <c r="E775" s="122"/>
      <c r="F775" s="118"/>
      <c r="H775" s="122"/>
    </row>
    <row r="776">
      <c r="B776" s="122"/>
      <c r="C776" s="122"/>
      <c r="D776" s="122"/>
      <c r="E776" s="122"/>
      <c r="F776" s="118"/>
      <c r="H776" s="122"/>
    </row>
    <row r="777">
      <c r="B777" s="122"/>
      <c r="C777" s="122"/>
      <c r="D777" s="122"/>
      <c r="E777" s="122"/>
      <c r="F777" s="118"/>
      <c r="H777" s="122"/>
    </row>
    <row r="778">
      <c r="B778" s="122"/>
      <c r="C778" s="122"/>
      <c r="D778" s="122"/>
      <c r="E778" s="122"/>
      <c r="F778" s="118"/>
      <c r="H778" s="122"/>
    </row>
    <row r="779">
      <c r="B779" s="122"/>
      <c r="C779" s="122"/>
      <c r="D779" s="122"/>
      <c r="E779" s="122"/>
      <c r="F779" s="118"/>
      <c r="H779" s="122"/>
    </row>
    <row r="780">
      <c r="B780" s="122"/>
      <c r="C780" s="122"/>
      <c r="D780" s="122"/>
      <c r="E780" s="122"/>
      <c r="F780" s="118"/>
      <c r="H780" s="122"/>
    </row>
    <row r="781">
      <c r="B781" s="122"/>
      <c r="C781" s="122"/>
      <c r="D781" s="122"/>
      <c r="E781" s="122"/>
      <c r="F781" s="118"/>
      <c r="H781" s="122"/>
    </row>
    <row r="782">
      <c r="B782" s="122"/>
      <c r="C782" s="122"/>
      <c r="D782" s="122"/>
      <c r="E782" s="122"/>
      <c r="F782" s="118"/>
      <c r="H782" s="122"/>
    </row>
    <row r="783">
      <c r="B783" s="122"/>
      <c r="C783" s="122"/>
      <c r="D783" s="122"/>
      <c r="E783" s="122"/>
      <c r="F783" s="118"/>
      <c r="H783" s="122"/>
    </row>
    <row r="784">
      <c r="B784" s="122"/>
      <c r="C784" s="122"/>
      <c r="D784" s="122"/>
      <c r="E784" s="122"/>
      <c r="F784" s="118"/>
      <c r="H784" s="122"/>
    </row>
    <row r="785">
      <c r="B785" s="122"/>
      <c r="C785" s="122"/>
      <c r="D785" s="122"/>
      <c r="E785" s="122"/>
      <c r="F785" s="118"/>
      <c r="H785" s="122"/>
    </row>
    <row r="786">
      <c r="B786" s="122"/>
      <c r="C786" s="122"/>
      <c r="D786" s="122"/>
      <c r="E786" s="122"/>
      <c r="F786" s="118"/>
      <c r="H786" s="122"/>
    </row>
    <row r="787">
      <c r="B787" s="122"/>
      <c r="C787" s="122"/>
      <c r="D787" s="122"/>
      <c r="E787" s="122"/>
      <c r="F787" s="118"/>
      <c r="H787" s="122"/>
    </row>
    <row r="788">
      <c r="B788" s="122"/>
      <c r="C788" s="122"/>
      <c r="D788" s="122"/>
      <c r="E788" s="122"/>
      <c r="F788" s="118"/>
      <c r="H788" s="122"/>
    </row>
    <row r="789">
      <c r="B789" s="122"/>
      <c r="C789" s="122"/>
      <c r="D789" s="122"/>
      <c r="E789" s="122"/>
      <c r="F789" s="118"/>
      <c r="H789" s="122"/>
    </row>
    <row r="790">
      <c r="B790" s="122"/>
      <c r="C790" s="122"/>
      <c r="D790" s="122"/>
      <c r="E790" s="122"/>
      <c r="F790" s="118"/>
      <c r="H790" s="122"/>
    </row>
    <row r="791">
      <c r="B791" s="122"/>
      <c r="C791" s="122"/>
      <c r="D791" s="122"/>
      <c r="E791" s="122"/>
      <c r="F791" s="118"/>
      <c r="H791" s="122"/>
    </row>
    <row r="792">
      <c r="B792" s="122"/>
      <c r="C792" s="122"/>
      <c r="D792" s="122"/>
      <c r="E792" s="122"/>
      <c r="F792" s="118"/>
      <c r="H792" s="122"/>
    </row>
    <row r="793">
      <c r="B793" s="122"/>
      <c r="C793" s="122"/>
      <c r="D793" s="122"/>
      <c r="E793" s="122"/>
      <c r="F793" s="118"/>
      <c r="H793" s="122"/>
    </row>
    <row r="794">
      <c r="B794" s="122"/>
      <c r="C794" s="122"/>
      <c r="D794" s="122"/>
      <c r="E794" s="122"/>
      <c r="F794" s="118"/>
      <c r="H794" s="122"/>
    </row>
    <row r="795">
      <c r="B795" s="122"/>
      <c r="C795" s="122"/>
      <c r="D795" s="122"/>
      <c r="E795" s="122"/>
      <c r="F795" s="118"/>
      <c r="H795" s="122"/>
    </row>
    <row r="796">
      <c r="B796" s="122"/>
      <c r="C796" s="122"/>
      <c r="D796" s="122"/>
      <c r="E796" s="122"/>
      <c r="F796" s="118"/>
      <c r="H796" s="122"/>
    </row>
    <row r="797">
      <c r="B797" s="122"/>
      <c r="C797" s="122"/>
      <c r="D797" s="122"/>
      <c r="E797" s="122"/>
      <c r="F797" s="118"/>
      <c r="H797" s="122"/>
    </row>
    <row r="798">
      <c r="B798" s="122"/>
      <c r="C798" s="122"/>
      <c r="D798" s="122"/>
      <c r="E798" s="122"/>
      <c r="F798" s="118"/>
      <c r="H798" s="122"/>
    </row>
    <row r="799">
      <c r="B799" s="122"/>
      <c r="C799" s="122"/>
      <c r="D799" s="122"/>
      <c r="E799" s="122"/>
      <c r="F799" s="118"/>
      <c r="H799" s="122"/>
    </row>
    <row r="800">
      <c r="B800" s="122"/>
      <c r="C800" s="122"/>
      <c r="D800" s="122"/>
      <c r="E800" s="122"/>
      <c r="F800" s="118"/>
      <c r="H800" s="122"/>
    </row>
    <row r="801">
      <c r="B801" s="122"/>
      <c r="C801" s="122"/>
      <c r="D801" s="122"/>
      <c r="E801" s="122"/>
      <c r="F801" s="118"/>
      <c r="H801" s="122"/>
    </row>
    <row r="802">
      <c r="B802" s="122"/>
      <c r="C802" s="122"/>
      <c r="D802" s="122"/>
      <c r="E802" s="122"/>
      <c r="F802" s="118"/>
      <c r="H802" s="122"/>
    </row>
    <row r="803">
      <c r="B803" s="122"/>
      <c r="C803" s="122"/>
      <c r="D803" s="122"/>
      <c r="E803" s="122"/>
      <c r="F803" s="118"/>
      <c r="H803" s="122"/>
    </row>
    <row r="804">
      <c r="B804" s="122"/>
      <c r="C804" s="122"/>
      <c r="D804" s="122"/>
      <c r="E804" s="122"/>
      <c r="F804" s="118"/>
      <c r="H804" s="122"/>
    </row>
    <row r="805">
      <c r="B805" s="122"/>
      <c r="C805" s="122"/>
      <c r="D805" s="122"/>
      <c r="E805" s="122"/>
      <c r="F805" s="118"/>
      <c r="H805" s="122"/>
    </row>
    <row r="806">
      <c r="B806" s="122"/>
      <c r="C806" s="122"/>
      <c r="D806" s="122"/>
      <c r="E806" s="122"/>
      <c r="F806" s="118"/>
      <c r="H806" s="122"/>
    </row>
    <row r="807">
      <c r="B807" s="122"/>
      <c r="C807" s="122"/>
      <c r="D807" s="122"/>
      <c r="E807" s="122"/>
      <c r="F807" s="118"/>
      <c r="H807" s="122"/>
    </row>
    <row r="808">
      <c r="B808" s="122"/>
      <c r="C808" s="122"/>
      <c r="D808" s="122"/>
      <c r="E808" s="122"/>
      <c r="F808" s="118"/>
      <c r="H808" s="122"/>
    </row>
    <row r="809">
      <c r="B809" s="122"/>
      <c r="C809" s="122"/>
      <c r="D809" s="122"/>
      <c r="E809" s="122"/>
      <c r="F809" s="118"/>
      <c r="H809" s="122"/>
    </row>
    <row r="810">
      <c r="B810" s="122"/>
      <c r="C810" s="122"/>
      <c r="D810" s="122"/>
      <c r="E810" s="122"/>
      <c r="F810" s="118"/>
      <c r="H810" s="122"/>
    </row>
    <row r="811">
      <c r="B811" s="122"/>
      <c r="C811" s="122"/>
      <c r="D811" s="122"/>
      <c r="E811" s="122"/>
      <c r="F811" s="118"/>
      <c r="H811" s="122"/>
    </row>
    <row r="812">
      <c r="B812" s="122"/>
      <c r="C812" s="122"/>
      <c r="D812" s="122"/>
      <c r="E812" s="122"/>
      <c r="F812" s="118"/>
      <c r="H812" s="122"/>
    </row>
    <row r="813">
      <c r="B813" s="122"/>
      <c r="C813" s="122"/>
      <c r="D813" s="122"/>
      <c r="E813" s="122"/>
      <c r="F813" s="118"/>
      <c r="H813" s="122"/>
    </row>
    <row r="814">
      <c r="B814" s="122"/>
      <c r="C814" s="122"/>
      <c r="D814" s="122"/>
      <c r="E814" s="122"/>
      <c r="F814" s="118"/>
      <c r="H814" s="122"/>
    </row>
    <row r="815">
      <c r="B815" s="122"/>
      <c r="C815" s="122"/>
      <c r="D815" s="122"/>
      <c r="E815" s="122"/>
      <c r="F815" s="118"/>
      <c r="H815" s="122"/>
    </row>
    <row r="816">
      <c r="B816" s="122"/>
      <c r="C816" s="122"/>
      <c r="D816" s="122"/>
      <c r="E816" s="122"/>
      <c r="F816" s="118"/>
      <c r="H816" s="122"/>
    </row>
    <row r="817">
      <c r="B817" s="122"/>
      <c r="C817" s="122"/>
      <c r="D817" s="122"/>
      <c r="E817" s="122"/>
      <c r="F817" s="118"/>
      <c r="H817" s="122"/>
    </row>
    <row r="818">
      <c r="B818" s="122"/>
      <c r="C818" s="122"/>
      <c r="D818" s="122"/>
      <c r="E818" s="122"/>
      <c r="F818" s="118"/>
      <c r="H818" s="122"/>
    </row>
    <row r="819">
      <c r="B819" s="122"/>
      <c r="C819" s="122"/>
      <c r="D819" s="122"/>
      <c r="E819" s="122"/>
      <c r="F819" s="118"/>
      <c r="H819" s="122"/>
    </row>
    <row r="820">
      <c r="B820" s="122"/>
      <c r="C820" s="122"/>
      <c r="D820" s="122"/>
      <c r="E820" s="122"/>
      <c r="F820" s="118"/>
      <c r="H820" s="122"/>
    </row>
    <row r="821">
      <c r="B821" s="122"/>
      <c r="C821" s="122"/>
      <c r="D821" s="122"/>
      <c r="E821" s="122"/>
      <c r="F821" s="118"/>
      <c r="H821" s="122"/>
    </row>
    <row r="822">
      <c r="B822" s="122"/>
      <c r="C822" s="122"/>
      <c r="D822" s="122"/>
      <c r="E822" s="122"/>
      <c r="F822" s="118"/>
      <c r="H822" s="122"/>
    </row>
    <row r="823">
      <c r="B823" s="122"/>
      <c r="C823" s="122"/>
      <c r="D823" s="122"/>
      <c r="E823" s="122"/>
      <c r="F823" s="118"/>
      <c r="H823" s="122"/>
    </row>
    <row r="824">
      <c r="B824" s="122"/>
      <c r="C824" s="122"/>
      <c r="D824" s="122"/>
      <c r="E824" s="122"/>
      <c r="F824" s="118"/>
      <c r="H824" s="122"/>
    </row>
    <row r="825">
      <c r="B825" s="122"/>
      <c r="C825" s="122"/>
      <c r="D825" s="122"/>
      <c r="E825" s="122"/>
      <c r="F825" s="118"/>
      <c r="H825" s="122"/>
    </row>
    <row r="826">
      <c r="B826" s="122"/>
      <c r="C826" s="122"/>
      <c r="D826" s="122"/>
      <c r="E826" s="122"/>
      <c r="F826" s="118"/>
      <c r="H826" s="122"/>
    </row>
    <row r="827">
      <c r="B827" s="122"/>
      <c r="C827" s="122"/>
      <c r="D827" s="122"/>
      <c r="E827" s="122"/>
      <c r="F827" s="118"/>
      <c r="H827" s="122"/>
    </row>
    <row r="828">
      <c r="B828" s="122"/>
      <c r="C828" s="122"/>
      <c r="D828" s="122"/>
      <c r="E828" s="122"/>
      <c r="F828" s="118"/>
      <c r="H828" s="122"/>
    </row>
    <row r="829">
      <c r="B829" s="122"/>
      <c r="C829" s="122"/>
      <c r="D829" s="122"/>
      <c r="E829" s="122"/>
      <c r="F829" s="118"/>
      <c r="H829" s="122"/>
    </row>
    <row r="830">
      <c r="B830" s="122"/>
      <c r="C830" s="122"/>
      <c r="D830" s="122"/>
      <c r="E830" s="122"/>
      <c r="F830" s="118"/>
      <c r="H830" s="122"/>
    </row>
    <row r="831">
      <c r="B831" s="122"/>
      <c r="C831" s="122"/>
      <c r="D831" s="122"/>
      <c r="E831" s="122"/>
      <c r="F831" s="118"/>
      <c r="H831" s="122"/>
    </row>
    <row r="832">
      <c r="B832" s="122"/>
      <c r="C832" s="122"/>
      <c r="D832" s="122"/>
      <c r="E832" s="122"/>
      <c r="F832" s="118"/>
      <c r="H832" s="122"/>
    </row>
    <row r="833">
      <c r="B833" s="122"/>
      <c r="C833" s="122"/>
      <c r="D833" s="122"/>
      <c r="E833" s="122"/>
      <c r="F833" s="118"/>
      <c r="H833" s="122"/>
    </row>
    <row r="834">
      <c r="B834" s="122"/>
      <c r="C834" s="122"/>
      <c r="D834" s="122"/>
      <c r="E834" s="122"/>
      <c r="F834" s="118"/>
      <c r="H834" s="122"/>
    </row>
    <row r="835">
      <c r="B835" s="122"/>
      <c r="C835" s="122"/>
      <c r="D835" s="122"/>
      <c r="E835" s="122"/>
      <c r="F835" s="118"/>
      <c r="H835" s="122"/>
    </row>
    <row r="836">
      <c r="B836" s="122"/>
      <c r="C836" s="122"/>
      <c r="D836" s="122"/>
      <c r="E836" s="122"/>
      <c r="F836" s="118"/>
      <c r="H836" s="122"/>
    </row>
    <row r="837">
      <c r="B837" s="122"/>
      <c r="C837" s="122"/>
      <c r="D837" s="122"/>
      <c r="E837" s="122"/>
      <c r="F837" s="118"/>
      <c r="H837" s="122"/>
    </row>
    <row r="838">
      <c r="B838" s="122"/>
      <c r="C838" s="122"/>
      <c r="D838" s="122"/>
      <c r="E838" s="122"/>
      <c r="F838" s="118"/>
      <c r="H838" s="122"/>
    </row>
    <row r="839">
      <c r="B839" s="122"/>
      <c r="C839" s="122"/>
      <c r="D839" s="122"/>
      <c r="E839" s="122"/>
      <c r="F839" s="118"/>
      <c r="H839" s="122"/>
    </row>
    <row r="840">
      <c r="B840" s="122"/>
      <c r="C840" s="122"/>
      <c r="D840" s="122"/>
      <c r="E840" s="122"/>
      <c r="F840" s="118"/>
      <c r="H840" s="122"/>
    </row>
    <row r="841">
      <c r="B841" s="122"/>
      <c r="C841" s="122"/>
      <c r="D841" s="122"/>
      <c r="E841" s="122"/>
      <c r="F841" s="118"/>
      <c r="H841" s="122"/>
    </row>
    <row r="842">
      <c r="B842" s="122"/>
      <c r="C842" s="122"/>
      <c r="D842" s="122"/>
      <c r="E842" s="122"/>
      <c r="F842" s="118"/>
      <c r="H842" s="122"/>
    </row>
    <row r="843">
      <c r="B843" s="122"/>
      <c r="C843" s="122"/>
      <c r="D843" s="122"/>
      <c r="E843" s="122"/>
      <c r="F843" s="118"/>
      <c r="H843" s="122"/>
    </row>
    <row r="844">
      <c r="B844" s="122"/>
      <c r="C844" s="122"/>
      <c r="D844" s="122"/>
      <c r="E844" s="122"/>
      <c r="F844" s="118"/>
      <c r="H844" s="122"/>
    </row>
    <row r="845">
      <c r="B845" s="122"/>
      <c r="C845" s="122"/>
      <c r="D845" s="122"/>
      <c r="E845" s="122"/>
      <c r="F845" s="118"/>
      <c r="H845" s="122"/>
    </row>
    <row r="846">
      <c r="B846" s="122"/>
      <c r="C846" s="122"/>
      <c r="D846" s="122"/>
      <c r="E846" s="122"/>
      <c r="F846" s="118"/>
      <c r="H846" s="122"/>
    </row>
    <row r="847">
      <c r="B847" s="122"/>
      <c r="C847" s="122"/>
      <c r="D847" s="122"/>
      <c r="E847" s="122"/>
      <c r="F847" s="118"/>
      <c r="H847" s="122"/>
    </row>
    <row r="848">
      <c r="B848" s="122"/>
      <c r="C848" s="122"/>
      <c r="D848" s="122"/>
      <c r="E848" s="122"/>
      <c r="F848" s="118"/>
      <c r="H848" s="122"/>
    </row>
    <row r="849">
      <c r="B849" s="122"/>
      <c r="C849" s="122"/>
      <c r="D849" s="122"/>
      <c r="E849" s="122"/>
      <c r="F849" s="118"/>
      <c r="H849" s="122"/>
    </row>
    <row r="850">
      <c r="B850" s="122"/>
      <c r="C850" s="122"/>
      <c r="D850" s="122"/>
      <c r="E850" s="122"/>
      <c r="F850" s="118"/>
      <c r="H850" s="122"/>
    </row>
    <row r="851">
      <c r="B851" s="122"/>
      <c r="C851" s="122"/>
      <c r="D851" s="122"/>
      <c r="E851" s="122"/>
      <c r="F851" s="118"/>
      <c r="H851" s="122"/>
    </row>
    <row r="852">
      <c r="B852" s="122"/>
      <c r="C852" s="122"/>
      <c r="D852" s="122"/>
      <c r="E852" s="122"/>
      <c r="F852" s="118"/>
      <c r="H852" s="122"/>
    </row>
    <row r="853">
      <c r="B853" s="122"/>
      <c r="C853" s="122"/>
      <c r="D853" s="122"/>
      <c r="E853" s="122"/>
      <c r="F853" s="118"/>
      <c r="H853" s="122"/>
    </row>
    <row r="854">
      <c r="B854" s="122"/>
      <c r="C854" s="122"/>
      <c r="D854" s="122"/>
      <c r="E854" s="122"/>
      <c r="F854" s="118"/>
      <c r="H854" s="122"/>
    </row>
    <row r="855">
      <c r="B855" s="122"/>
      <c r="C855" s="122"/>
      <c r="D855" s="122"/>
      <c r="E855" s="122"/>
      <c r="F855" s="118"/>
      <c r="H855" s="122"/>
    </row>
    <row r="856">
      <c r="B856" s="122"/>
      <c r="C856" s="122"/>
      <c r="D856" s="122"/>
      <c r="E856" s="122"/>
      <c r="F856" s="118"/>
      <c r="H856" s="122"/>
    </row>
    <row r="857">
      <c r="B857" s="122"/>
      <c r="C857" s="122"/>
      <c r="D857" s="122"/>
      <c r="E857" s="122"/>
      <c r="F857" s="118"/>
      <c r="H857" s="122"/>
    </row>
    <row r="858">
      <c r="B858" s="122"/>
      <c r="C858" s="122"/>
      <c r="D858" s="122"/>
      <c r="E858" s="122"/>
      <c r="F858" s="118"/>
      <c r="H858" s="122"/>
    </row>
    <row r="859">
      <c r="B859" s="122"/>
      <c r="C859" s="122"/>
      <c r="D859" s="122"/>
      <c r="E859" s="122"/>
      <c r="F859" s="118"/>
      <c r="H859" s="122"/>
    </row>
    <row r="860">
      <c r="B860" s="122"/>
      <c r="C860" s="122"/>
      <c r="D860" s="122"/>
      <c r="E860" s="122"/>
      <c r="F860" s="118"/>
      <c r="H860" s="122"/>
    </row>
    <row r="861">
      <c r="B861" s="122"/>
      <c r="C861" s="122"/>
      <c r="D861" s="122"/>
      <c r="E861" s="122"/>
      <c r="F861" s="118"/>
      <c r="H861" s="122"/>
    </row>
    <row r="862">
      <c r="B862" s="122"/>
      <c r="C862" s="122"/>
      <c r="D862" s="122"/>
      <c r="E862" s="122"/>
      <c r="F862" s="118"/>
      <c r="H862" s="122"/>
    </row>
    <row r="863">
      <c r="B863" s="122"/>
      <c r="C863" s="122"/>
      <c r="D863" s="122"/>
      <c r="E863" s="122"/>
      <c r="F863" s="118"/>
      <c r="H863" s="122"/>
    </row>
    <row r="864">
      <c r="B864" s="122"/>
      <c r="C864" s="122"/>
      <c r="D864" s="122"/>
      <c r="E864" s="122"/>
      <c r="F864" s="118"/>
      <c r="H864" s="122"/>
    </row>
    <row r="865">
      <c r="B865" s="122"/>
      <c r="C865" s="122"/>
      <c r="D865" s="122"/>
      <c r="E865" s="122"/>
      <c r="F865" s="118"/>
      <c r="H865" s="122"/>
    </row>
    <row r="866">
      <c r="B866" s="122"/>
      <c r="C866" s="122"/>
      <c r="D866" s="122"/>
      <c r="E866" s="122"/>
      <c r="F866" s="118"/>
      <c r="H866" s="122"/>
    </row>
    <row r="867">
      <c r="B867" s="122"/>
      <c r="C867" s="122"/>
      <c r="D867" s="122"/>
      <c r="E867" s="122"/>
      <c r="F867" s="118"/>
      <c r="H867" s="122"/>
    </row>
    <row r="868">
      <c r="B868" s="122"/>
      <c r="C868" s="122"/>
      <c r="D868" s="122"/>
      <c r="E868" s="122"/>
      <c r="F868" s="118"/>
      <c r="H868" s="122"/>
    </row>
    <row r="869">
      <c r="B869" s="122"/>
      <c r="C869" s="122"/>
      <c r="D869" s="122"/>
      <c r="E869" s="122"/>
      <c r="F869" s="118"/>
      <c r="H869" s="122"/>
    </row>
    <row r="870">
      <c r="B870" s="122"/>
      <c r="C870" s="122"/>
      <c r="D870" s="122"/>
      <c r="E870" s="122"/>
      <c r="F870" s="118"/>
      <c r="H870" s="122"/>
    </row>
    <row r="871">
      <c r="B871" s="122"/>
      <c r="C871" s="122"/>
      <c r="D871" s="122"/>
      <c r="E871" s="122"/>
      <c r="F871" s="118"/>
      <c r="H871" s="122"/>
    </row>
    <row r="872">
      <c r="B872" s="122"/>
      <c r="C872" s="122"/>
      <c r="D872" s="122"/>
      <c r="E872" s="122"/>
      <c r="F872" s="118"/>
      <c r="H872" s="122"/>
    </row>
    <row r="873">
      <c r="B873" s="122"/>
      <c r="C873" s="122"/>
      <c r="D873" s="122"/>
      <c r="E873" s="122"/>
      <c r="F873" s="118"/>
      <c r="H873" s="122"/>
    </row>
    <row r="874">
      <c r="B874" s="122"/>
      <c r="C874" s="122"/>
      <c r="D874" s="122"/>
      <c r="E874" s="122"/>
      <c r="F874" s="118"/>
      <c r="H874" s="122"/>
    </row>
    <row r="875">
      <c r="B875" s="122"/>
      <c r="C875" s="122"/>
      <c r="D875" s="122"/>
      <c r="E875" s="122"/>
      <c r="F875" s="118"/>
      <c r="H875" s="122"/>
    </row>
    <row r="876">
      <c r="B876" s="122"/>
      <c r="C876" s="122"/>
      <c r="D876" s="122"/>
      <c r="E876" s="122"/>
      <c r="F876" s="118"/>
      <c r="H876" s="122"/>
    </row>
    <row r="877">
      <c r="B877" s="122"/>
      <c r="C877" s="122"/>
      <c r="D877" s="122"/>
      <c r="E877" s="122"/>
      <c r="F877" s="118"/>
      <c r="H877" s="122"/>
    </row>
    <row r="878">
      <c r="B878" s="122"/>
      <c r="C878" s="122"/>
      <c r="D878" s="122"/>
      <c r="E878" s="122"/>
      <c r="F878" s="118"/>
      <c r="H878" s="122"/>
    </row>
    <row r="879">
      <c r="B879" s="122"/>
      <c r="C879" s="122"/>
      <c r="D879" s="122"/>
      <c r="E879" s="122"/>
      <c r="F879" s="118"/>
      <c r="H879" s="122"/>
    </row>
    <row r="880">
      <c r="B880" s="122"/>
      <c r="C880" s="122"/>
      <c r="D880" s="122"/>
      <c r="E880" s="122"/>
      <c r="F880" s="118"/>
      <c r="H880" s="122"/>
    </row>
    <row r="881">
      <c r="B881" s="122"/>
      <c r="C881" s="122"/>
      <c r="D881" s="122"/>
      <c r="E881" s="122"/>
      <c r="F881" s="118"/>
      <c r="H881" s="122"/>
    </row>
    <row r="882">
      <c r="B882" s="122"/>
      <c r="C882" s="122"/>
      <c r="D882" s="122"/>
      <c r="E882" s="122"/>
      <c r="F882" s="118"/>
      <c r="H882" s="122"/>
    </row>
    <row r="883">
      <c r="B883" s="122"/>
      <c r="C883" s="122"/>
      <c r="D883" s="122"/>
      <c r="E883" s="122"/>
      <c r="F883" s="118"/>
      <c r="H883" s="122"/>
    </row>
    <row r="884">
      <c r="B884" s="122"/>
      <c r="C884" s="122"/>
      <c r="D884" s="122"/>
      <c r="E884" s="122"/>
      <c r="F884" s="118"/>
      <c r="H884" s="122"/>
    </row>
    <row r="885">
      <c r="B885" s="122"/>
      <c r="C885" s="122"/>
      <c r="D885" s="122"/>
      <c r="E885" s="122"/>
      <c r="F885" s="118"/>
      <c r="H885" s="122"/>
    </row>
    <row r="886">
      <c r="B886" s="122"/>
      <c r="C886" s="122"/>
      <c r="D886" s="122"/>
      <c r="E886" s="122"/>
      <c r="F886" s="118"/>
      <c r="H886" s="122"/>
    </row>
    <row r="887">
      <c r="B887" s="122"/>
      <c r="C887" s="122"/>
      <c r="D887" s="122"/>
      <c r="E887" s="122"/>
      <c r="F887" s="118"/>
      <c r="H887" s="122"/>
    </row>
    <row r="888">
      <c r="B888" s="122"/>
      <c r="C888" s="122"/>
      <c r="D888" s="122"/>
      <c r="E888" s="122"/>
      <c r="F888" s="118"/>
      <c r="H888" s="122"/>
    </row>
    <row r="889">
      <c r="B889" s="122"/>
      <c r="C889" s="122"/>
      <c r="D889" s="122"/>
      <c r="E889" s="122"/>
      <c r="F889" s="118"/>
      <c r="H889" s="122"/>
    </row>
    <row r="890">
      <c r="B890" s="122"/>
      <c r="C890" s="122"/>
      <c r="D890" s="122"/>
      <c r="E890" s="122"/>
      <c r="F890" s="118"/>
      <c r="H890" s="122"/>
    </row>
    <row r="891">
      <c r="B891" s="122"/>
      <c r="C891" s="122"/>
      <c r="D891" s="122"/>
      <c r="E891" s="122"/>
      <c r="F891" s="118"/>
      <c r="H891" s="122"/>
    </row>
    <row r="892">
      <c r="B892" s="122"/>
      <c r="C892" s="122"/>
      <c r="D892" s="122"/>
      <c r="E892" s="122"/>
      <c r="F892" s="118"/>
      <c r="H892" s="122"/>
    </row>
    <row r="893">
      <c r="B893" s="122"/>
      <c r="C893" s="122"/>
      <c r="D893" s="122"/>
      <c r="E893" s="122"/>
      <c r="F893" s="118"/>
      <c r="H893" s="122"/>
    </row>
    <row r="894">
      <c r="B894" s="122"/>
      <c r="C894" s="122"/>
      <c r="D894" s="122"/>
      <c r="E894" s="122"/>
      <c r="F894" s="118"/>
      <c r="H894" s="122"/>
    </row>
    <row r="895">
      <c r="B895" s="122"/>
      <c r="C895" s="122"/>
      <c r="D895" s="122"/>
      <c r="E895" s="122"/>
      <c r="F895" s="118"/>
      <c r="H895" s="122"/>
    </row>
    <row r="896">
      <c r="B896" s="122"/>
      <c r="C896" s="122"/>
      <c r="D896" s="122"/>
      <c r="E896" s="122"/>
      <c r="F896" s="118"/>
      <c r="H896" s="122"/>
    </row>
    <row r="897">
      <c r="B897" s="122"/>
      <c r="C897" s="122"/>
      <c r="D897" s="122"/>
      <c r="E897" s="122"/>
      <c r="F897" s="118"/>
      <c r="H897" s="122"/>
    </row>
    <row r="898">
      <c r="B898" s="122"/>
      <c r="C898" s="122"/>
      <c r="D898" s="122"/>
      <c r="E898" s="122"/>
      <c r="F898" s="118"/>
      <c r="H898" s="122"/>
    </row>
    <row r="899">
      <c r="B899" s="122"/>
      <c r="C899" s="122"/>
      <c r="D899" s="122"/>
      <c r="E899" s="122"/>
      <c r="F899" s="118"/>
      <c r="H899" s="122"/>
    </row>
    <row r="900">
      <c r="B900" s="122"/>
      <c r="C900" s="122"/>
      <c r="D900" s="122"/>
      <c r="E900" s="122"/>
      <c r="F900" s="118"/>
      <c r="H900" s="122"/>
    </row>
    <row r="901">
      <c r="B901" s="122"/>
      <c r="C901" s="122"/>
      <c r="D901" s="122"/>
      <c r="E901" s="122"/>
      <c r="F901" s="118"/>
      <c r="H901" s="122"/>
    </row>
    <row r="902">
      <c r="B902" s="122"/>
      <c r="C902" s="122"/>
      <c r="D902" s="122"/>
      <c r="E902" s="122"/>
      <c r="F902" s="118"/>
      <c r="H902" s="122"/>
    </row>
    <row r="903">
      <c r="B903" s="122"/>
      <c r="C903" s="122"/>
      <c r="D903" s="122"/>
      <c r="E903" s="122"/>
      <c r="F903" s="118"/>
      <c r="H903" s="122"/>
    </row>
    <row r="904">
      <c r="B904" s="122"/>
      <c r="C904" s="122"/>
      <c r="D904" s="122"/>
      <c r="E904" s="122"/>
      <c r="F904" s="118"/>
      <c r="H904" s="122"/>
    </row>
    <row r="905">
      <c r="B905" s="122"/>
      <c r="C905" s="122"/>
      <c r="D905" s="122"/>
      <c r="E905" s="122"/>
      <c r="F905" s="118"/>
      <c r="H905" s="122"/>
    </row>
    <row r="906">
      <c r="B906" s="122"/>
      <c r="C906" s="122"/>
      <c r="D906" s="122"/>
      <c r="E906" s="122"/>
      <c r="F906" s="118"/>
      <c r="H906" s="122"/>
    </row>
    <row r="907">
      <c r="B907" s="122"/>
      <c r="C907" s="122"/>
      <c r="D907" s="122"/>
      <c r="E907" s="122"/>
      <c r="F907" s="118"/>
      <c r="H907" s="122"/>
    </row>
    <row r="908">
      <c r="B908" s="122"/>
      <c r="C908" s="122"/>
      <c r="D908" s="122"/>
      <c r="E908" s="122"/>
      <c r="F908" s="118"/>
      <c r="H908" s="122"/>
    </row>
    <row r="909">
      <c r="B909" s="122"/>
      <c r="C909" s="122"/>
      <c r="D909" s="122"/>
      <c r="E909" s="122"/>
      <c r="F909" s="118"/>
      <c r="H909" s="122"/>
    </row>
    <row r="910">
      <c r="B910" s="122"/>
      <c r="C910" s="122"/>
      <c r="D910" s="122"/>
      <c r="E910" s="122"/>
      <c r="F910" s="118"/>
      <c r="H910" s="122"/>
    </row>
    <row r="911">
      <c r="B911" s="122"/>
      <c r="C911" s="122"/>
      <c r="D911" s="122"/>
      <c r="E911" s="122"/>
      <c r="F911" s="118"/>
      <c r="H911" s="122"/>
    </row>
    <row r="912">
      <c r="B912" s="122"/>
      <c r="C912" s="122"/>
      <c r="D912" s="122"/>
      <c r="E912" s="122"/>
      <c r="F912" s="118"/>
      <c r="H912" s="122"/>
    </row>
    <row r="913">
      <c r="B913" s="122"/>
      <c r="C913" s="122"/>
      <c r="D913" s="122"/>
      <c r="E913" s="122"/>
      <c r="F913" s="118"/>
      <c r="H913" s="122"/>
    </row>
    <row r="914">
      <c r="B914" s="122"/>
      <c r="C914" s="122"/>
      <c r="D914" s="122"/>
      <c r="E914" s="122"/>
      <c r="F914" s="118"/>
      <c r="H914" s="122"/>
    </row>
    <row r="915">
      <c r="B915" s="122"/>
      <c r="C915" s="122"/>
      <c r="D915" s="122"/>
      <c r="E915" s="122"/>
      <c r="F915" s="118"/>
      <c r="H915" s="122"/>
    </row>
    <row r="916">
      <c r="B916" s="122"/>
      <c r="C916" s="122"/>
      <c r="D916" s="122"/>
      <c r="E916" s="122"/>
      <c r="F916" s="118"/>
      <c r="H916" s="122"/>
    </row>
    <row r="917">
      <c r="B917" s="122"/>
      <c r="C917" s="122"/>
      <c r="D917" s="122"/>
      <c r="E917" s="122"/>
      <c r="F917" s="118"/>
      <c r="H917" s="122"/>
    </row>
    <row r="918">
      <c r="B918" s="122"/>
      <c r="C918" s="122"/>
      <c r="D918" s="122"/>
      <c r="E918" s="122"/>
      <c r="F918" s="118"/>
      <c r="H918" s="122"/>
    </row>
    <row r="919">
      <c r="B919" s="122"/>
      <c r="C919" s="122"/>
      <c r="D919" s="122"/>
      <c r="E919" s="122"/>
      <c r="F919" s="118"/>
      <c r="H919" s="122"/>
    </row>
    <row r="920">
      <c r="B920" s="122"/>
      <c r="C920" s="122"/>
      <c r="D920" s="122"/>
      <c r="E920" s="122"/>
      <c r="F920" s="118"/>
      <c r="H920" s="122"/>
    </row>
    <row r="921">
      <c r="B921" s="122"/>
      <c r="C921" s="122"/>
      <c r="D921" s="122"/>
      <c r="E921" s="122"/>
      <c r="F921" s="118"/>
      <c r="H921" s="122"/>
    </row>
    <row r="922">
      <c r="B922" s="122"/>
      <c r="C922" s="122"/>
      <c r="D922" s="122"/>
      <c r="E922" s="122"/>
      <c r="F922" s="118"/>
      <c r="H922" s="122"/>
    </row>
    <row r="923">
      <c r="B923" s="122"/>
      <c r="C923" s="122"/>
      <c r="D923" s="122"/>
      <c r="E923" s="122"/>
      <c r="F923" s="118"/>
      <c r="H923" s="122"/>
    </row>
    <row r="924">
      <c r="B924" s="122"/>
      <c r="C924" s="122"/>
      <c r="D924" s="122"/>
      <c r="E924" s="122"/>
      <c r="F924" s="118"/>
      <c r="H924" s="122"/>
    </row>
    <row r="925">
      <c r="B925" s="122"/>
      <c r="C925" s="122"/>
      <c r="D925" s="122"/>
      <c r="E925" s="122"/>
      <c r="F925" s="118"/>
      <c r="H925" s="122"/>
    </row>
    <row r="926">
      <c r="B926" s="122"/>
      <c r="C926" s="122"/>
      <c r="D926" s="122"/>
      <c r="E926" s="122"/>
      <c r="F926" s="118"/>
      <c r="H926" s="122"/>
    </row>
    <row r="927">
      <c r="B927" s="122"/>
      <c r="C927" s="122"/>
      <c r="D927" s="122"/>
      <c r="E927" s="122"/>
      <c r="F927" s="118"/>
      <c r="H927" s="122"/>
    </row>
    <row r="928">
      <c r="B928" s="122"/>
      <c r="C928" s="122"/>
      <c r="D928" s="122"/>
      <c r="E928" s="122"/>
      <c r="F928" s="118"/>
      <c r="H928" s="122"/>
    </row>
    <row r="929">
      <c r="B929" s="122"/>
      <c r="C929" s="122"/>
      <c r="D929" s="122"/>
      <c r="E929" s="122"/>
      <c r="F929" s="118"/>
      <c r="H929" s="122"/>
    </row>
    <row r="930">
      <c r="B930" s="122"/>
      <c r="C930" s="122"/>
      <c r="D930" s="122"/>
      <c r="E930" s="122"/>
      <c r="F930" s="118"/>
      <c r="H930" s="122"/>
    </row>
    <row r="931">
      <c r="B931" s="122"/>
      <c r="C931" s="122"/>
      <c r="D931" s="122"/>
      <c r="E931" s="122"/>
      <c r="F931" s="118"/>
      <c r="H931" s="122"/>
    </row>
    <row r="932">
      <c r="B932" s="122"/>
      <c r="C932" s="122"/>
      <c r="D932" s="122"/>
      <c r="E932" s="122"/>
      <c r="F932" s="118"/>
      <c r="H932" s="122"/>
    </row>
    <row r="933">
      <c r="B933" s="122"/>
      <c r="C933" s="122"/>
      <c r="D933" s="122"/>
      <c r="E933" s="122"/>
      <c r="F933" s="118"/>
      <c r="H933" s="122"/>
    </row>
    <row r="934">
      <c r="B934" s="122"/>
      <c r="C934" s="122"/>
      <c r="D934" s="122"/>
      <c r="E934" s="122"/>
      <c r="F934" s="118"/>
      <c r="H934" s="122"/>
    </row>
    <row r="935">
      <c r="B935" s="122"/>
      <c r="C935" s="122"/>
      <c r="D935" s="122"/>
      <c r="E935" s="122"/>
      <c r="F935" s="118"/>
      <c r="H935" s="122"/>
    </row>
    <row r="936">
      <c r="B936" s="122"/>
      <c r="C936" s="122"/>
      <c r="D936" s="122"/>
      <c r="E936" s="122"/>
      <c r="F936" s="118"/>
      <c r="H936" s="122"/>
    </row>
    <row r="937">
      <c r="B937" s="122"/>
      <c r="C937" s="122"/>
      <c r="D937" s="122"/>
      <c r="E937" s="122"/>
      <c r="F937" s="118"/>
      <c r="H937" s="122"/>
    </row>
    <row r="938">
      <c r="B938" s="122"/>
      <c r="C938" s="122"/>
      <c r="D938" s="122"/>
      <c r="E938" s="122"/>
      <c r="F938" s="118"/>
      <c r="H938" s="122"/>
    </row>
    <row r="939">
      <c r="B939" s="122"/>
      <c r="C939" s="122"/>
      <c r="D939" s="122"/>
      <c r="E939" s="122"/>
      <c r="F939" s="118"/>
      <c r="H939" s="122"/>
    </row>
    <row r="940">
      <c r="B940" s="122"/>
      <c r="C940" s="122"/>
      <c r="D940" s="122"/>
      <c r="E940" s="122"/>
      <c r="F940" s="118"/>
      <c r="H940" s="122"/>
    </row>
    <row r="941">
      <c r="B941" s="122"/>
      <c r="C941" s="122"/>
      <c r="D941" s="122"/>
      <c r="E941" s="122"/>
      <c r="F941" s="118"/>
      <c r="H941" s="122"/>
    </row>
    <row r="942">
      <c r="B942" s="122"/>
      <c r="C942" s="122"/>
      <c r="D942" s="122"/>
      <c r="E942" s="122"/>
      <c r="F942" s="118"/>
      <c r="H942" s="122"/>
    </row>
    <row r="943">
      <c r="B943" s="122"/>
      <c r="C943" s="122"/>
      <c r="D943" s="122"/>
      <c r="E943" s="122"/>
      <c r="F943" s="118"/>
      <c r="H943" s="122"/>
    </row>
    <row r="944">
      <c r="B944" s="122"/>
      <c r="C944" s="122"/>
      <c r="D944" s="122"/>
      <c r="E944" s="122"/>
      <c r="F944" s="118"/>
      <c r="H944" s="122"/>
    </row>
    <row r="945">
      <c r="B945" s="122"/>
      <c r="C945" s="122"/>
      <c r="D945" s="122"/>
      <c r="E945" s="122"/>
      <c r="F945" s="118"/>
      <c r="H945" s="122"/>
    </row>
    <row r="946">
      <c r="B946" s="122"/>
      <c r="C946" s="122"/>
      <c r="D946" s="122"/>
      <c r="E946" s="122"/>
      <c r="F946" s="118"/>
      <c r="H946" s="122"/>
    </row>
    <row r="947">
      <c r="B947" s="122"/>
      <c r="C947" s="122"/>
      <c r="D947" s="122"/>
      <c r="E947" s="122"/>
      <c r="F947" s="118"/>
      <c r="H947" s="122"/>
    </row>
    <row r="948">
      <c r="B948" s="122"/>
      <c r="C948" s="122"/>
      <c r="D948" s="122"/>
      <c r="E948" s="122"/>
      <c r="F948" s="118"/>
      <c r="H948" s="122"/>
    </row>
    <row r="949">
      <c r="B949" s="122"/>
      <c r="C949" s="122"/>
      <c r="D949" s="122"/>
      <c r="E949" s="122"/>
      <c r="F949" s="118"/>
      <c r="H949" s="122"/>
    </row>
    <row r="950">
      <c r="B950" s="122"/>
      <c r="C950" s="122"/>
      <c r="D950" s="122"/>
      <c r="E950" s="122"/>
      <c r="F950" s="118"/>
      <c r="H950" s="122"/>
    </row>
    <row r="951">
      <c r="B951" s="122"/>
      <c r="C951" s="122"/>
      <c r="D951" s="122"/>
      <c r="E951" s="122"/>
      <c r="F951" s="118"/>
      <c r="H951" s="122"/>
    </row>
    <row r="952">
      <c r="B952" s="122"/>
      <c r="C952" s="122"/>
      <c r="D952" s="122"/>
      <c r="E952" s="122"/>
      <c r="F952" s="118"/>
      <c r="H952" s="122"/>
    </row>
    <row r="953">
      <c r="B953" s="122"/>
      <c r="C953" s="122"/>
      <c r="D953" s="122"/>
      <c r="E953" s="122"/>
      <c r="F953" s="118"/>
      <c r="H953" s="122"/>
    </row>
    <row r="954">
      <c r="B954" s="122"/>
      <c r="C954" s="122"/>
      <c r="D954" s="122"/>
      <c r="E954" s="122"/>
      <c r="F954" s="118"/>
      <c r="H954" s="122"/>
    </row>
    <row r="955">
      <c r="B955" s="122"/>
      <c r="C955" s="122"/>
      <c r="D955" s="122"/>
      <c r="E955" s="122"/>
      <c r="F955" s="118"/>
      <c r="H955" s="122"/>
    </row>
    <row r="956">
      <c r="B956" s="122"/>
      <c r="C956" s="122"/>
      <c r="D956" s="122"/>
      <c r="E956" s="122"/>
      <c r="F956" s="118"/>
      <c r="H956" s="122"/>
    </row>
    <row r="957">
      <c r="B957" s="122"/>
      <c r="C957" s="122"/>
      <c r="D957" s="122"/>
      <c r="E957" s="122"/>
      <c r="F957" s="118"/>
      <c r="H957" s="122"/>
    </row>
    <row r="958">
      <c r="B958" s="122"/>
      <c r="C958" s="122"/>
      <c r="D958" s="122"/>
      <c r="E958" s="122"/>
      <c r="F958" s="118"/>
      <c r="H958" s="122"/>
    </row>
    <row r="959">
      <c r="B959" s="122"/>
      <c r="C959" s="122"/>
      <c r="D959" s="122"/>
      <c r="E959" s="122"/>
      <c r="F959" s="118"/>
      <c r="H959" s="122"/>
    </row>
    <row r="960">
      <c r="B960" s="122"/>
      <c r="C960" s="122"/>
      <c r="D960" s="122"/>
      <c r="E960" s="122"/>
      <c r="F960" s="118"/>
      <c r="H960" s="122"/>
    </row>
    <row r="961">
      <c r="B961" s="122"/>
      <c r="C961" s="122"/>
      <c r="D961" s="122"/>
      <c r="E961" s="122"/>
      <c r="F961" s="118"/>
      <c r="H961" s="122"/>
    </row>
    <row r="962">
      <c r="B962" s="122"/>
      <c r="C962" s="122"/>
      <c r="D962" s="122"/>
      <c r="E962" s="122"/>
      <c r="F962" s="118"/>
      <c r="H962" s="122"/>
    </row>
    <row r="963">
      <c r="B963" s="122"/>
      <c r="C963" s="122"/>
      <c r="D963" s="122"/>
      <c r="E963" s="122"/>
      <c r="F963" s="118"/>
      <c r="H963" s="122"/>
    </row>
    <row r="964">
      <c r="B964" s="122"/>
      <c r="C964" s="122"/>
      <c r="D964" s="122"/>
      <c r="E964" s="122"/>
      <c r="F964" s="118"/>
      <c r="H964" s="122"/>
    </row>
    <row r="965">
      <c r="B965" s="122"/>
      <c r="C965" s="122"/>
      <c r="D965" s="122"/>
      <c r="E965" s="122"/>
      <c r="F965" s="118"/>
      <c r="H965" s="122"/>
    </row>
    <row r="966">
      <c r="B966" s="122"/>
      <c r="C966" s="122"/>
      <c r="D966" s="122"/>
      <c r="E966" s="122"/>
      <c r="F966" s="118"/>
      <c r="H966" s="122"/>
    </row>
    <row r="967">
      <c r="B967" s="122"/>
      <c r="C967" s="122"/>
      <c r="D967" s="122"/>
      <c r="E967" s="122"/>
      <c r="F967" s="118"/>
      <c r="H967" s="122"/>
    </row>
    <row r="968">
      <c r="B968" s="122"/>
      <c r="C968" s="122"/>
      <c r="D968" s="122"/>
      <c r="E968" s="122"/>
      <c r="F968" s="118"/>
      <c r="H968" s="122"/>
    </row>
    <row r="969">
      <c r="B969" s="122"/>
      <c r="C969" s="122"/>
      <c r="D969" s="122"/>
      <c r="E969" s="122"/>
      <c r="F969" s="118"/>
      <c r="H969" s="122"/>
    </row>
    <row r="970">
      <c r="B970" s="122"/>
      <c r="C970" s="122"/>
      <c r="D970" s="122"/>
      <c r="E970" s="122"/>
      <c r="F970" s="118"/>
      <c r="H970" s="122"/>
    </row>
    <row r="971">
      <c r="B971" s="122"/>
      <c r="C971" s="122"/>
      <c r="D971" s="122"/>
      <c r="E971" s="122"/>
      <c r="F971" s="118"/>
      <c r="H971" s="122"/>
    </row>
    <row r="972">
      <c r="B972" s="122"/>
      <c r="C972" s="122"/>
      <c r="D972" s="122"/>
      <c r="E972" s="122"/>
      <c r="F972" s="118"/>
      <c r="H972" s="122"/>
    </row>
    <row r="973">
      <c r="B973" s="122"/>
      <c r="C973" s="122"/>
      <c r="D973" s="122"/>
      <c r="E973" s="122"/>
      <c r="F973" s="118"/>
      <c r="H973" s="122"/>
    </row>
    <row r="974">
      <c r="B974" s="122"/>
      <c r="C974" s="122"/>
      <c r="D974" s="122"/>
      <c r="E974" s="122"/>
      <c r="F974" s="118"/>
      <c r="H974" s="122"/>
    </row>
    <row r="975">
      <c r="B975" s="122"/>
      <c r="C975" s="122"/>
      <c r="D975" s="122"/>
      <c r="E975" s="122"/>
      <c r="F975" s="118"/>
      <c r="H975" s="122"/>
    </row>
    <row r="976">
      <c r="B976" s="122"/>
      <c r="C976" s="122"/>
      <c r="D976" s="122"/>
      <c r="E976" s="122"/>
      <c r="F976" s="118"/>
      <c r="H976" s="122"/>
    </row>
    <row r="977">
      <c r="B977" s="122"/>
      <c r="C977" s="122"/>
      <c r="D977" s="122"/>
      <c r="E977" s="122"/>
      <c r="F977" s="118"/>
      <c r="H977" s="122"/>
    </row>
    <row r="978">
      <c r="B978" s="122"/>
      <c r="C978" s="122"/>
      <c r="D978" s="122"/>
      <c r="E978" s="122"/>
      <c r="F978" s="118"/>
      <c r="H978" s="122"/>
    </row>
    <row r="979">
      <c r="B979" s="122"/>
      <c r="C979" s="122"/>
      <c r="D979" s="122"/>
      <c r="E979" s="122"/>
      <c r="F979" s="118"/>
      <c r="H979" s="122"/>
    </row>
    <row r="980">
      <c r="B980" s="122"/>
      <c r="C980" s="122"/>
      <c r="D980" s="122"/>
      <c r="E980" s="122"/>
      <c r="F980" s="118"/>
      <c r="H980" s="122"/>
    </row>
    <row r="981">
      <c r="B981" s="122"/>
      <c r="C981" s="122"/>
      <c r="D981" s="122"/>
      <c r="E981" s="122"/>
      <c r="F981" s="118"/>
      <c r="H981" s="122"/>
    </row>
    <row r="982">
      <c r="B982" s="122"/>
      <c r="C982" s="122"/>
      <c r="D982" s="122"/>
      <c r="E982" s="122"/>
      <c r="F982" s="118"/>
      <c r="H982" s="122"/>
    </row>
    <row r="983">
      <c r="B983" s="122"/>
      <c r="C983" s="122"/>
      <c r="D983" s="122"/>
      <c r="E983" s="122"/>
      <c r="F983" s="118"/>
      <c r="H983" s="122"/>
    </row>
    <row r="984">
      <c r="B984" s="122"/>
      <c r="C984" s="122"/>
      <c r="D984" s="122"/>
      <c r="E984" s="122"/>
      <c r="F984" s="118"/>
      <c r="H984" s="122"/>
    </row>
    <row r="985">
      <c r="B985" s="122"/>
      <c r="C985" s="122"/>
      <c r="D985" s="122"/>
      <c r="E985" s="122"/>
      <c r="F985" s="118"/>
      <c r="H985" s="122"/>
    </row>
    <row r="986">
      <c r="B986" s="122"/>
      <c r="C986" s="122"/>
      <c r="D986" s="122"/>
      <c r="E986" s="122"/>
      <c r="F986" s="118"/>
      <c r="H986" s="122"/>
    </row>
    <row r="987">
      <c r="B987" s="122"/>
      <c r="C987" s="122"/>
      <c r="D987" s="122"/>
      <c r="E987" s="122"/>
      <c r="F987" s="118"/>
      <c r="H987" s="122"/>
    </row>
    <row r="988">
      <c r="B988" s="122"/>
      <c r="C988" s="122"/>
      <c r="D988" s="122"/>
      <c r="E988" s="122"/>
      <c r="F988" s="118"/>
      <c r="H988" s="122"/>
    </row>
    <row r="989">
      <c r="B989" s="122"/>
      <c r="C989" s="122"/>
      <c r="D989" s="122"/>
      <c r="E989" s="122"/>
      <c r="F989" s="118"/>
      <c r="H989" s="122"/>
    </row>
    <row r="990">
      <c r="B990" s="122"/>
      <c r="C990" s="122"/>
      <c r="D990" s="122"/>
      <c r="E990" s="122"/>
      <c r="F990" s="118"/>
      <c r="H990" s="122"/>
    </row>
    <row r="991">
      <c r="B991" s="122"/>
      <c r="C991" s="122"/>
      <c r="D991" s="122"/>
      <c r="E991" s="122"/>
      <c r="F991" s="118"/>
      <c r="H991" s="122"/>
    </row>
    <row r="992">
      <c r="B992" s="122"/>
      <c r="C992" s="122"/>
      <c r="D992" s="122"/>
      <c r="E992" s="122"/>
      <c r="F992" s="118"/>
      <c r="H992" s="122"/>
    </row>
    <row r="993">
      <c r="B993" s="122"/>
      <c r="C993" s="122"/>
      <c r="D993" s="122"/>
      <c r="E993" s="122"/>
      <c r="F993" s="118"/>
      <c r="H993" s="122"/>
    </row>
    <row r="994">
      <c r="B994" s="122"/>
      <c r="C994" s="122"/>
      <c r="D994" s="122"/>
      <c r="E994" s="122"/>
      <c r="F994" s="118"/>
      <c r="H994" s="122"/>
    </row>
    <row r="995">
      <c r="B995" s="122"/>
      <c r="C995" s="122"/>
      <c r="D995" s="122"/>
      <c r="E995" s="122"/>
      <c r="F995" s="118"/>
      <c r="H995" s="122"/>
    </row>
    <row r="996">
      <c r="B996" s="122"/>
      <c r="C996" s="122"/>
      <c r="D996" s="122"/>
      <c r="E996" s="122"/>
      <c r="F996" s="118"/>
      <c r="H996" s="122"/>
    </row>
    <row r="997">
      <c r="B997" s="122"/>
      <c r="C997" s="122"/>
      <c r="D997" s="122"/>
      <c r="E997" s="122"/>
      <c r="F997" s="118"/>
      <c r="H997" s="122"/>
    </row>
  </sheetData>
  <dataValidations>
    <dataValidation type="list" allowBlank="1" showErrorMessage="1" sqref="B2:B997">
      <formula1>"應用,隱私,定義,治理,推動,技術,授權"</formula1>
    </dataValidation>
  </dataValidations>
  <hyperlinks>
    <hyperlink r:id="rId1" ref="F2"/>
    <hyperlink r:id="rId2" ref="F3"/>
    <hyperlink r:id="rId3" ref="F4"/>
    <hyperlink r:id="rId4" ref="F5"/>
    <hyperlink r:id="rId5" location="slide=id.p" ref="F6"/>
    <hyperlink r:id="rId6" ref="F7"/>
    <hyperlink r:id="rId7" ref="F11"/>
    <hyperlink r:id="rId8" ref="F12"/>
    <hyperlink r:id="rId9" ref="F14"/>
    <hyperlink r:id="rId10" ref="F15"/>
    <hyperlink r:id="rId11" ref="F16"/>
    <hyperlink r:id="rId12" ref="F17"/>
    <hyperlink r:id="rId13" ref="F18"/>
    <hyperlink r:id="rId14" ref="F21"/>
    <hyperlink r:id="rId15" ref="F22"/>
    <hyperlink r:id="rId16" ref="F23"/>
    <hyperlink r:id="rId17" ref="F24"/>
    <hyperlink r:id="rId18" ref="F25"/>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7.63"/>
    <col customWidth="1" min="3" max="3" width="34.0"/>
    <col customWidth="1" min="4" max="4" width="22.0"/>
  </cols>
  <sheetData>
    <row r="1">
      <c r="A1" s="113" t="s">
        <v>1968</v>
      </c>
      <c r="B1" s="113" t="s">
        <v>1</v>
      </c>
      <c r="C1" s="111" t="s">
        <v>3</v>
      </c>
      <c r="D1" s="113" t="s">
        <v>6</v>
      </c>
      <c r="E1" s="113" t="s">
        <v>2117</v>
      </c>
      <c r="F1" s="113" t="s">
        <v>12</v>
      </c>
      <c r="G1" s="111" t="s">
        <v>13</v>
      </c>
    </row>
    <row r="2">
      <c r="A2" s="113">
        <v>1.0</v>
      </c>
      <c r="B2" s="113" t="s">
        <v>2118</v>
      </c>
      <c r="C2" s="111" t="s">
        <v>2119</v>
      </c>
      <c r="D2" s="113" t="s">
        <v>2120</v>
      </c>
      <c r="E2" s="113" t="s">
        <v>19</v>
      </c>
      <c r="F2" s="113" t="s">
        <v>145</v>
      </c>
      <c r="G2" s="122"/>
    </row>
    <row r="3">
      <c r="A3" s="113">
        <v>3.0</v>
      </c>
      <c r="B3" s="113" t="s">
        <v>2121</v>
      </c>
      <c r="C3" s="111" t="s">
        <v>2122</v>
      </c>
      <c r="D3" s="121" t="s">
        <v>2123</v>
      </c>
      <c r="E3" s="113" t="s">
        <v>19</v>
      </c>
      <c r="F3" s="113" t="s">
        <v>2124</v>
      </c>
      <c r="G3" s="122"/>
    </row>
    <row r="4">
      <c r="A4" s="113">
        <v>4.0</v>
      </c>
      <c r="B4" s="113" t="s">
        <v>2121</v>
      </c>
      <c r="C4" s="111" t="s">
        <v>2125</v>
      </c>
      <c r="D4" s="121" t="s">
        <v>2126</v>
      </c>
      <c r="E4" s="113" t="s">
        <v>19</v>
      </c>
      <c r="F4" s="113" t="s">
        <v>2124</v>
      </c>
      <c r="G4" s="122"/>
    </row>
    <row r="5">
      <c r="A5" s="113">
        <v>5.0</v>
      </c>
      <c r="B5" s="113" t="s">
        <v>2121</v>
      </c>
      <c r="C5" s="111" t="s">
        <v>2127</v>
      </c>
      <c r="D5" s="113" t="s">
        <v>2128</v>
      </c>
      <c r="E5" s="113" t="s">
        <v>19</v>
      </c>
      <c r="F5" s="113" t="s">
        <v>2124</v>
      </c>
      <c r="G5" s="122"/>
    </row>
    <row r="6">
      <c r="A6" s="113">
        <v>6.0</v>
      </c>
      <c r="B6" s="113" t="s">
        <v>2121</v>
      </c>
      <c r="C6" s="111" t="s">
        <v>2129</v>
      </c>
      <c r="D6" s="113" t="s">
        <v>2130</v>
      </c>
      <c r="E6" s="113" t="s">
        <v>19</v>
      </c>
      <c r="F6" s="113" t="s">
        <v>2124</v>
      </c>
      <c r="G6" s="122"/>
    </row>
    <row r="7">
      <c r="A7" s="113">
        <v>7.0</v>
      </c>
      <c r="B7" s="113" t="s">
        <v>2121</v>
      </c>
      <c r="C7" s="111" t="s">
        <v>2131</v>
      </c>
      <c r="D7" s="113" t="s">
        <v>2132</v>
      </c>
      <c r="E7" s="113" t="s">
        <v>19</v>
      </c>
      <c r="F7" s="113" t="s">
        <v>2124</v>
      </c>
      <c r="G7" s="122"/>
    </row>
    <row r="8">
      <c r="A8" s="113">
        <v>8.0</v>
      </c>
      <c r="B8" s="113" t="s">
        <v>2121</v>
      </c>
      <c r="C8" s="111" t="s">
        <v>2133</v>
      </c>
      <c r="D8" s="121" t="s">
        <v>2134</v>
      </c>
      <c r="E8" s="113" t="s">
        <v>19</v>
      </c>
      <c r="F8" s="113" t="s">
        <v>2124</v>
      </c>
      <c r="G8" s="122"/>
    </row>
    <row r="9">
      <c r="A9" s="113">
        <v>9.0</v>
      </c>
      <c r="B9" s="113" t="s">
        <v>2121</v>
      </c>
      <c r="C9" s="111" t="s">
        <v>2135</v>
      </c>
      <c r="D9" s="121" t="s">
        <v>2136</v>
      </c>
      <c r="E9" s="113" t="s">
        <v>19</v>
      </c>
      <c r="F9" s="113" t="s">
        <v>2124</v>
      </c>
      <c r="G9" s="122"/>
    </row>
    <row r="10">
      <c r="A10" s="113">
        <v>10.0</v>
      </c>
      <c r="B10" s="113" t="s">
        <v>2137</v>
      </c>
      <c r="C10" s="111" t="s">
        <v>2138</v>
      </c>
      <c r="D10" s="121" t="s">
        <v>2139</v>
      </c>
      <c r="E10" s="113" t="s">
        <v>2140</v>
      </c>
      <c r="F10" s="113" t="s">
        <v>2140</v>
      </c>
      <c r="G10" s="111" t="s">
        <v>2141</v>
      </c>
    </row>
  </sheetData>
  <hyperlinks>
    <hyperlink r:id="rId4" ref="D3"/>
    <hyperlink r:id="rId5" ref="D4"/>
    <hyperlink r:id="rId6" ref="D8"/>
    <hyperlink r:id="rId7" ref="D9"/>
    <hyperlink r:id="rId8" ref="D10"/>
  </hyperlinks>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7.63"/>
    <col customWidth="1" min="3" max="3" width="34.0"/>
    <col customWidth="1" min="4" max="4" width="11.88"/>
    <col customWidth="1" min="5" max="5" width="25.0"/>
  </cols>
  <sheetData>
    <row r="1">
      <c r="A1" s="113" t="s">
        <v>1968</v>
      </c>
      <c r="B1" s="113" t="s">
        <v>1</v>
      </c>
      <c r="C1" s="111" t="s">
        <v>3</v>
      </c>
      <c r="D1" s="113" t="s">
        <v>6</v>
      </c>
      <c r="E1" s="111" t="s">
        <v>2142</v>
      </c>
      <c r="F1" s="113" t="s">
        <v>2040</v>
      </c>
      <c r="G1" s="111" t="s">
        <v>13</v>
      </c>
    </row>
    <row r="2">
      <c r="A2" s="113">
        <v>1.0</v>
      </c>
      <c r="B2" s="113" t="s">
        <v>2118</v>
      </c>
      <c r="C2" s="111" t="s">
        <v>2143</v>
      </c>
      <c r="D2" s="127" t="s">
        <v>132</v>
      </c>
      <c r="E2" s="111" t="s">
        <v>2144</v>
      </c>
      <c r="F2" s="111" t="s">
        <v>2145</v>
      </c>
      <c r="G2" s="111" t="s">
        <v>2146</v>
      </c>
    </row>
    <row r="3">
      <c r="A3" s="113">
        <v>2.0</v>
      </c>
      <c r="C3" s="111"/>
      <c r="E3" s="122"/>
      <c r="G3" s="122"/>
    </row>
    <row r="4">
      <c r="A4" s="113">
        <v>3.0</v>
      </c>
      <c r="C4" s="111"/>
      <c r="E4" s="122"/>
      <c r="G4" s="122"/>
    </row>
    <row r="5">
      <c r="A5" s="113">
        <v>4.0</v>
      </c>
      <c r="C5" s="111"/>
      <c r="D5" s="128"/>
      <c r="E5" s="122"/>
      <c r="G5" s="122"/>
    </row>
    <row r="6">
      <c r="A6" s="113">
        <v>5.0</v>
      </c>
      <c r="C6" s="111"/>
      <c r="E6" s="122"/>
      <c r="G6" s="122"/>
    </row>
    <row r="7">
      <c r="A7" s="113">
        <v>6.0</v>
      </c>
      <c r="C7" s="111"/>
      <c r="E7" s="122"/>
      <c r="G7" s="122"/>
    </row>
    <row r="8">
      <c r="A8" s="113">
        <v>7.0</v>
      </c>
      <c r="C8" s="111"/>
      <c r="E8" s="122"/>
      <c r="G8" s="122"/>
    </row>
    <row r="9">
      <c r="A9" s="113">
        <v>8.0</v>
      </c>
      <c r="C9" s="111"/>
      <c r="D9" s="128"/>
      <c r="E9" s="122"/>
      <c r="G9" s="122"/>
    </row>
    <row r="10">
      <c r="A10" s="113">
        <v>9.0</v>
      </c>
      <c r="C10" s="111"/>
      <c r="E10" s="122"/>
      <c r="G10" s="122"/>
    </row>
    <row r="11">
      <c r="A11" s="113">
        <v>10.0</v>
      </c>
      <c r="C11" s="111"/>
      <c r="D11" s="128"/>
      <c r="E11" s="122"/>
      <c r="G11" s="111"/>
    </row>
  </sheetData>
  <hyperlinks>
    <hyperlink r:id="rId1" ref="D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2.5"/>
    <col customWidth="1" min="3" max="3" width="13.0"/>
    <col customWidth="1" min="4" max="4" width="22.5"/>
    <col customWidth="1" min="5" max="5" width="11.0"/>
    <col customWidth="1" min="6" max="6" width="17.0"/>
    <col customWidth="1" min="7" max="7" width="12.5"/>
    <col customWidth="1" hidden="1" min="8" max="8" width="8.25"/>
    <col customWidth="1" min="9" max="9" width="27.0"/>
    <col customWidth="1" min="12" max="12" width="31.88"/>
  </cols>
  <sheetData>
    <row r="1">
      <c r="A1" s="113" t="s">
        <v>1</v>
      </c>
      <c r="B1" s="111" t="s">
        <v>0</v>
      </c>
      <c r="C1" s="111" t="s">
        <v>3</v>
      </c>
      <c r="D1" s="111" t="s">
        <v>5</v>
      </c>
      <c r="E1" s="116" t="s">
        <v>2147</v>
      </c>
      <c r="F1" s="116" t="s">
        <v>7</v>
      </c>
      <c r="G1" s="116" t="s">
        <v>2148</v>
      </c>
      <c r="H1" s="116" t="s">
        <v>2149</v>
      </c>
      <c r="I1" s="111" t="s">
        <v>2150</v>
      </c>
      <c r="J1" s="129" t="s">
        <v>2040</v>
      </c>
      <c r="K1" s="113" t="s">
        <v>12</v>
      </c>
      <c r="L1" s="111" t="s">
        <v>13</v>
      </c>
    </row>
    <row r="2">
      <c r="A2" s="113" t="s">
        <v>2151</v>
      </c>
      <c r="B2" s="111" t="s">
        <v>2152</v>
      </c>
      <c r="C2" s="111" t="s">
        <v>2153</v>
      </c>
      <c r="D2" s="111" t="s">
        <v>2154</v>
      </c>
      <c r="E2" s="130" t="s">
        <v>2155</v>
      </c>
      <c r="F2" s="119" t="s">
        <v>2156</v>
      </c>
      <c r="G2" s="119" t="s">
        <v>2156</v>
      </c>
      <c r="H2" s="130"/>
      <c r="I2" s="111" t="s">
        <v>2157</v>
      </c>
      <c r="J2" s="129" t="s">
        <v>2158</v>
      </c>
      <c r="K2" s="113" t="s">
        <v>34</v>
      </c>
      <c r="L2" s="122"/>
    </row>
    <row r="3">
      <c r="A3" s="113" t="s">
        <v>2151</v>
      </c>
      <c r="B3" s="111" t="s">
        <v>2152</v>
      </c>
      <c r="C3" s="111" t="s">
        <v>2159</v>
      </c>
      <c r="D3" s="111" t="s">
        <v>2160</v>
      </c>
      <c r="E3" s="130" t="s">
        <v>2155</v>
      </c>
      <c r="F3" s="119" t="s">
        <v>2161</v>
      </c>
      <c r="G3" s="119" t="s">
        <v>2161</v>
      </c>
      <c r="H3" s="130"/>
      <c r="I3" s="111" t="s">
        <v>2162</v>
      </c>
      <c r="J3" s="129" t="s">
        <v>2163</v>
      </c>
      <c r="K3" s="113" t="s">
        <v>34</v>
      </c>
      <c r="L3" s="122"/>
    </row>
    <row r="4">
      <c r="A4" s="113" t="s">
        <v>2151</v>
      </c>
      <c r="B4" s="111" t="s">
        <v>2152</v>
      </c>
      <c r="C4" s="111" t="s">
        <v>2164</v>
      </c>
      <c r="D4" s="111" t="s">
        <v>2165</v>
      </c>
      <c r="E4" s="130" t="s">
        <v>2155</v>
      </c>
      <c r="F4" s="119" t="s">
        <v>2166</v>
      </c>
      <c r="G4" s="119" t="s">
        <v>2166</v>
      </c>
      <c r="H4" s="130"/>
      <c r="I4" s="111" t="s">
        <v>2167</v>
      </c>
      <c r="J4" s="129" t="s">
        <v>2168</v>
      </c>
      <c r="K4" s="113" t="s">
        <v>34</v>
      </c>
      <c r="L4" s="111" t="s">
        <v>2169</v>
      </c>
    </row>
    <row r="5">
      <c r="A5" s="113" t="s">
        <v>2151</v>
      </c>
      <c r="B5" s="111" t="s">
        <v>2170</v>
      </c>
      <c r="C5" s="111" t="s">
        <v>2171</v>
      </c>
      <c r="D5" s="111" t="s">
        <v>2172</v>
      </c>
      <c r="E5" s="130" t="s">
        <v>2173</v>
      </c>
      <c r="F5" s="119" t="s">
        <v>2139</v>
      </c>
      <c r="G5" s="119" t="s">
        <v>2174</v>
      </c>
      <c r="H5" s="130"/>
      <c r="I5" s="111" t="s">
        <v>2175</v>
      </c>
      <c r="J5" s="129" t="s">
        <v>2176</v>
      </c>
      <c r="K5" s="113" t="s">
        <v>2177</v>
      </c>
      <c r="L5" s="111" t="s">
        <v>2178</v>
      </c>
    </row>
    <row r="6">
      <c r="A6" s="113" t="s">
        <v>2151</v>
      </c>
      <c r="B6" s="111" t="s">
        <v>2170</v>
      </c>
      <c r="C6" s="111" t="s">
        <v>2179</v>
      </c>
      <c r="D6" s="111" t="s">
        <v>2180</v>
      </c>
      <c r="E6" s="130" t="s">
        <v>2173</v>
      </c>
      <c r="F6" s="119" t="s">
        <v>2139</v>
      </c>
      <c r="G6" s="119" t="s">
        <v>2181</v>
      </c>
      <c r="H6" s="130"/>
      <c r="I6" s="111" t="s">
        <v>2182</v>
      </c>
      <c r="J6" s="129" t="s">
        <v>2183</v>
      </c>
      <c r="K6" s="113" t="s">
        <v>2177</v>
      </c>
      <c r="L6" s="122"/>
    </row>
    <row r="7">
      <c r="A7" s="113" t="s">
        <v>2151</v>
      </c>
      <c r="B7" s="111" t="s">
        <v>2170</v>
      </c>
      <c r="C7" s="111" t="s">
        <v>2184</v>
      </c>
      <c r="D7" s="111" t="s">
        <v>2185</v>
      </c>
      <c r="E7" s="130" t="s">
        <v>2173</v>
      </c>
      <c r="F7" s="119" t="s">
        <v>2139</v>
      </c>
      <c r="G7" s="119" t="s">
        <v>2186</v>
      </c>
      <c r="H7" s="130"/>
      <c r="I7" s="111" t="s">
        <v>2187</v>
      </c>
      <c r="J7" s="129" t="s">
        <v>2176</v>
      </c>
      <c r="K7" s="113" t="s">
        <v>34</v>
      </c>
      <c r="L7" s="122"/>
    </row>
    <row r="8">
      <c r="A8" s="113" t="s">
        <v>2151</v>
      </c>
      <c r="B8" s="111" t="s">
        <v>2170</v>
      </c>
      <c r="C8" s="111" t="s">
        <v>2188</v>
      </c>
      <c r="D8" s="111" t="s">
        <v>2189</v>
      </c>
      <c r="E8" s="130" t="s">
        <v>2173</v>
      </c>
      <c r="F8" s="119" t="s">
        <v>2139</v>
      </c>
      <c r="G8" s="119" t="s">
        <v>2190</v>
      </c>
      <c r="H8" s="130"/>
      <c r="I8" s="111" t="s">
        <v>2191</v>
      </c>
      <c r="J8" s="129">
        <v>2023.11</v>
      </c>
      <c r="K8" s="113" t="s">
        <v>34</v>
      </c>
      <c r="L8" s="122"/>
    </row>
    <row r="9">
      <c r="A9" s="113" t="s">
        <v>2151</v>
      </c>
      <c r="B9" s="111" t="s">
        <v>2170</v>
      </c>
      <c r="C9" s="111"/>
      <c r="D9" s="111"/>
      <c r="E9" s="130"/>
      <c r="F9" s="130"/>
      <c r="G9" s="130"/>
      <c r="H9" s="130"/>
      <c r="I9" s="111"/>
      <c r="J9" s="129"/>
      <c r="K9" s="113"/>
      <c r="L9" s="122"/>
    </row>
    <row r="10">
      <c r="A10" s="113" t="s">
        <v>2151</v>
      </c>
      <c r="B10" s="111" t="s">
        <v>2170</v>
      </c>
      <c r="C10" s="111" t="s">
        <v>2192</v>
      </c>
      <c r="D10" s="111" t="s">
        <v>2193</v>
      </c>
      <c r="E10" s="116" t="s">
        <v>2194</v>
      </c>
      <c r="F10" s="119" t="s">
        <v>2195</v>
      </c>
      <c r="G10" s="119" t="s">
        <v>2196</v>
      </c>
      <c r="H10" s="130"/>
      <c r="I10" s="111" t="s">
        <v>2197</v>
      </c>
      <c r="J10" s="129" t="s">
        <v>2198</v>
      </c>
      <c r="K10" s="113" t="s">
        <v>34</v>
      </c>
      <c r="L10" s="122"/>
    </row>
    <row r="11">
      <c r="A11" s="113" t="s">
        <v>2151</v>
      </c>
      <c r="B11" s="111" t="s">
        <v>2170</v>
      </c>
      <c r="C11" s="111" t="s">
        <v>2199</v>
      </c>
      <c r="D11" s="111" t="s">
        <v>2200</v>
      </c>
      <c r="E11" s="113" t="s">
        <v>150</v>
      </c>
      <c r="G11" s="119" t="s">
        <v>2201</v>
      </c>
      <c r="H11" s="130"/>
      <c r="I11" s="111" t="s">
        <v>2202</v>
      </c>
      <c r="J11" s="129"/>
      <c r="K11" s="113" t="s">
        <v>34</v>
      </c>
      <c r="L11" s="111" t="s">
        <v>2203</v>
      </c>
    </row>
    <row r="12">
      <c r="A12" s="113" t="s">
        <v>2151</v>
      </c>
      <c r="B12" s="111" t="s">
        <v>2170</v>
      </c>
      <c r="C12" s="111" t="s">
        <v>2204</v>
      </c>
      <c r="D12" s="111" t="s">
        <v>2205</v>
      </c>
      <c r="E12" s="130" t="s">
        <v>2173</v>
      </c>
      <c r="F12" s="119" t="s">
        <v>2139</v>
      </c>
      <c r="G12" s="119" t="s">
        <v>2206</v>
      </c>
      <c r="H12" s="130"/>
      <c r="I12" s="111" t="s">
        <v>2187</v>
      </c>
      <c r="J12" s="129" t="s">
        <v>2176</v>
      </c>
      <c r="K12" s="113" t="s">
        <v>34</v>
      </c>
      <c r="L12" s="122"/>
    </row>
    <row r="13">
      <c r="A13" s="113" t="s">
        <v>2151</v>
      </c>
      <c r="B13" s="111" t="s">
        <v>2170</v>
      </c>
      <c r="C13" s="111" t="s">
        <v>2207</v>
      </c>
      <c r="D13" s="111" t="s">
        <v>2208</v>
      </c>
      <c r="E13" s="116" t="s">
        <v>2194</v>
      </c>
      <c r="F13" s="119" t="s">
        <v>2195</v>
      </c>
      <c r="G13" s="119" t="s">
        <v>2195</v>
      </c>
      <c r="H13" s="130"/>
      <c r="I13" s="111" t="s">
        <v>2209</v>
      </c>
      <c r="J13" s="129" t="s">
        <v>34</v>
      </c>
      <c r="K13" s="113" t="s">
        <v>34</v>
      </c>
      <c r="L13" s="122"/>
    </row>
    <row r="14">
      <c r="A14" s="113" t="s">
        <v>2151</v>
      </c>
      <c r="B14" s="111" t="s">
        <v>2170</v>
      </c>
      <c r="C14" s="111" t="s">
        <v>2210</v>
      </c>
      <c r="D14" s="111" t="s">
        <v>2211</v>
      </c>
      <c r="E14" s="130" t="s">
        <v>2173</v>
      </c>
      <c r="F14" s="119" t="s">
        <v>2139</v>
      </c>
      <c r="G14" s="119" t="s">
        <v>2212</v>
      </c>
      <c r="H14" s="130"/>
      <c r="I14" s="111" t="s">
        <v>2213</v>
      </c>
      <c r="J14" s="129">
        <v>2022.12</v>
      </c>
      <c r="K14" s="113" t="s">
        <v>34</v>
      </c>
      <c r="L14" s="122"/>
    </row>
    <row r="15">
      <c r="A15" s="113" t="s">
        <v>2151</v>
      </c>
      <c r="B15" s="111" t="s">
        <v>2170</v>
      </c>
      <c r="C15" s="111" t="s">
        <v>2214</v>
      </c>
      <c r="D15" s="111" t="s">
        <v>2215</v>
      </c>
      <c r="E15" s="130" t="s">
        <v>2173</v>
      </c>
      <c r="F15" s="119" t="s">
        <v>2139</v>
      </c>
      <c r="G15" s="119" t="s">
        <v>2216</v>
      </c>
      <c r="H15" s="130"/>
      <c r="I15" s="111" t="s">
        <v>2213</v>
      </c>
      <c r="J15" s="129">
        <v>2022.12</v>
      </c>
      <c r="K15" s="113" t="s">
        <v>34</v>
      </c>
      <c r="L15" s="122"/>
    </row>
    <row r="16">
      <c r="A16" s="113" t="s">
        <v>2151</v>
      </c>
      <c r="B16" s="111" t="s">
        <v>2170</v>
      </c>
      <c r="C16" s="111" t="s">
        <v>2217</v>
      </c>
      <c r="D16" s="111" t="s">
        <v>2218</v>
      </c>
      <c r="E16" s="130" t="s">
        <v>2155</v>
      </c>
      <c r="F16" s="119" t="s">
        <v>2219</v>
      </c>
      <c r="G16" s="117" t="s">
        <v>2219</v>
      </c>
      <c r="H16" s="116"/>
      <c r="I16" s="113" t="s">
        <v>2220</v>
      </c>
      <c r="J16" s="129" t="s">
        <v>2221</v>
      </c>
      <c r="K16" s="113" t="s">
        <v>34</v>
      </c>
      <c r="L16" s="122"/>
    </row>
    <row r="17">
      <c r="A17" s="113" t="s">
        <v>2151</v>
      </c>
      <c r="B17" s="111" t="s">
        <v>2170</v>
      </c>
      <c r="C17" s="111" t="s">
        <v>2222</v>
      </c>
      <c r="D17" s="111" t="s">
        <v>2223</v>
      </c>
      <c r="E17" s="113" t="s">
        <v>150</v>
      </c>
      <c r="F17" s="116"/>
      <c r="G17" s="119" t="s">
        <v>2224</v>
      </c>
      <c r="H17" s="130"/>
      <c r="I17" s="122"/>
      <c r="J17" s="129" t="s">
        <v>150</v>
      </c>
      <c r="K17" s="113" t="s">
        <v>34</v>
      </c>
      <c r="L17" s="122"/>
    </row>
    <row r="18">
      <c r="A18" s="113" t="s">
        <v>2151</v>
      </c>
      <c r="B18" s="111" t="s">
        <v>2170</v>
      </c>
      <c r="C18" s="111" t="s">
        <v>2225</v>
      </c>
      <c r="D18" s="111" t="s">
        <v>2226</v>
      </c>
      <c r="E18" s="130" t="s">
        <v>2173</v>
      </c>
      <c r="F18" s="119" t="s">
        <v>2139</v>
      </c>
      <c r="G18" s="119" t="s">
        <v>2227</v>
      </c>
      <c r="H18" s="130"/>
      <c r="I18" s="111" t="s">
        <v>2228</v>
      </c>
      <c r="J18" s="129" t="s">
        <v>2176</v>
      </c>
      <c r="K18" s="113" t="s">
        <v>34</v>
      </c>
      <c r="L18" s="122"/>
    </row>
    <row r="19">
      <c r="A19" s="113" t="s">
        <v>2229</v>
      </c>
      <c r="B19" s="111" t="s">
        <v>2230</v>
      </c>
      <c r="C19" s="111" t="s">
        <v>2231</v>
      </c>
      <c r="D19" s="111" t="s">
        <v>2232</v>
      </c>
      <c r="E19" s="116" t="s">
        <v>2233</v>
      </c>
      <c r="F19" s="119" t="s">
        <v>2234</v>
      </c>
      <c r="G19" s="123" t="s">
        <v>2235</v>
      </c>
      <c r="H19" s="111"/>
      <c r="I19" s="113">
        <v>2017.0</v>
      </c>
      <c r="J19" s="129">
        <v>2017.0</v>
      </c>
      <c r="K19" s="113" t="s">
        <v>34</v>
      </c>
      <c r="L19" s="122"/>
    </row>
    <row r="20">
      <c r="A20" s="113" t="s">
        <v>2229</v>
      </c>
      <c r="B20" s="111" t="s">
        <v>2230</v>
      </c>
      <c r="C20" s="111" t="s">
        <v>2236</v>
      </c>
      <c r="D20" s="111" t="s">
        <v>2237</v>
      </c>
      <c r="E20" s="116"/>
      <c r="F20" s="119" t="s">
        <v>2238</v>
      </c>
      <c r="G20" s="131" t="s">
        <v>2239</v>
      </c>
      <c r="H20" s="113"/>
      <c r="I20" s="113">
        <v>2005.0</v>
      </c>
      <c r="J20" s="129">
        <v>2005.0</v>
      </c>
      <c r="K20" s="113" t="s">
        <v>34</v>
      </c>
      <c r="L20" s="122"/>
    </row>
    <row r="21">
      <c r="A21" s="113" t="s">
        <v>2229</v>
      </c>
      <c r="B21" s="111" t="s">
        <v>2230</v>
      </c>
      <c r="C21" s="111" t="s">
        <v>2240</v>
      </c>
      <c r="D21" s="111" t="s">
        <v>2241</v>
      </c>
      <c r="E21" s="116" t="s">
        <v>2242</v>
      </c>
      <c r="F21" s="119" t="s">
        <v>2243</v>
      </c>
      <c r="G21" s="119" t="s">
        <v>2244</v>
      </c>
      <c r="H21" s="130"/>
      <c r="I21" s="111">
        <v>2022.0</v>
      </c>
      <c r="J21" s="129">
        <v>2022.0</v>
      </c>
      <c r="K21" s="113" t="s">
        <v>34</v>
      </c>
      <c r="L21" s="122"/>
    </row>
    <row r="22">
      <c r="A22" s="113" t="s">
        <v>2229</v>
      </c>
      <c r="B22" s="111" t="s">
        <v>2230</v>
      </c>
      <c r="C22" s="111" t="s">
        <v>2245</v>
      </c>
      <c r="D22" s="111" t="s">
        <v>2246</v>
      </c>
      <c r="E22" s="116" t="s">
        <v>2247</v>
      </c>
      <c r="F22" s="119" t="s">
        <v>2248</v>
      </c>
      <c r="G22" s="119" t="s">
        <v>2249</v>
      </c>
      <c r="H22" s="130"/>
      <c r="I22" s="111">
        <v>2019.0</v>
      </c>
      <c r="J22" s="132">
        <v>2019.0</v>
      </c>
      <c r="K22" s="113" t="s">
        <v>34</v>
      </c>
      <c r="L22" s="122"/>
    </row>
    <row r="23">
      <c r="A23" s="113" t="s">
        <v>2229</v>
      </c>
      <c r="B23" s="111" t="s">
        <v>2230</v>
      </c>
      <c r="C23" s="111" t="s">
        <v>2250</v>
      </c>
      <c r="D23" s="111" t="s">
        <v>2251</v>
      </c>
      <c r="E23" s="116"/>
      <c r="F23" s="119" t="s">
        <v>2252</v>
      </c>
      <c r="G23" s="131" t="s">
        <v>2253</v>
      </c>
      <c r="H23" s="113"/>
      <c r="I23" s="111">
        <v>2023.0</v>
      </c>
      <c r="J23" s="133"/>
      <c r="K23" s="113" t="s">
        <v>34</v>
      </c>
      <c r="L23" s="122"/>
    </row>
    <row r="24">
      <c r="A24" s="113" t="s">
        <v>2151</v>
      </c>
      <c r="B24" s="113"/>
      <c r="C24" s="113" t="s">
        <v>2254</v>
      </c>
      <c r="D24" s="111" t="s">
        <v>2255</v>
      </c>
      <c r="E24" s="130"/>
      <c r="F24" s="130"/>
      <c r="G24" s="119" t="s">
        <v>2128</v>
      </c>
      <c r="H24" s="130"/>
      <c r="I24" s="111" t="s">
        <v>150</v>
      </c>
      <c r="J24" s="133"/>
      <c r="K24" s="113" t="s">
        <v>34</v>
      </c>
      <c r="L24" s="122"/>
    </row>
    <row r="25">
      <c r="A25" s="113" t="s">
        <v>2229</v>
      </c>
      <c r="B25" s="111" t="s">
        <v>2230</v>
      </c>
      <c r="C25" s="111" t="s">
        <v>2256</v>
      </c>
      <c r="D25" s="111" t="s">
        <v>2257</v>
      </c>
      <c r="E25" s="113"/>
      <c r="F25" s="113"/>
      <c r="G25" s="121" t="s">
        <v>2258</v>
      </c>
      <c r="H25" s="128"/>
      <c r="I25" s="111">
        <v>2022.0</v>
      </c>
      <c r="J25" s="129">
        <v>2022.0</v>
      </c>
      <c r="K25" s="113" t="s">
        <v>34</v>
      </c>
      <c r="L25" s="122"/>
    </row>
    <row r="26">
      <c r="A26" s="113" t="s">
        <v>2229</v>
      </c>
      <c r="B26" s="111" t="s">
        <v>2259</v>
      </c>
      <c r="C26" s="111" t="s">
        <v>2260</v>
      </c>
      <c r="D26" s="111" t="s">
        <v>2261</v>
      </c>
      <c r="E26" s="113"/>
      <c r="F26" s="121" t="s">
        <v>2262</v>
      </c>
      <c r="G26" s="121" t="s">
        <v>2263</v>
      </c>
      <c r="H26" s="128"/>
      <c r="I26" s="111">
        <v>2023.0</v>
      </c>
      <c r="J26" s="129">
        <v>2023.0</v>
      </c>
      <c r="K26" s="113" t="s">
        <v>2264</v>
      </c>
      <c r="L26" s="122"/>
    </row>
    <row r="27">
      <c r="A27" s="113" t="s">
        <v>2151</v>
      </c>
      <c r="B27" s="111" t="s">
        <v>2170</v>
      </c>
      <c r="C27" s="111" t="s">
        <v>2265</v>
      </c>
      <c r="D27" s="111" t="s">
        <v>2266</v>
      </c>
      <c r="E27" s="113"/>
      <c r="F27" s="113"/>
      <c r="G27" s="121" t="s">
        <v>2267</v>
      </c>
      <c r="H27" s="128"/>
      <c r="I27" s="111" t="s">
        <v>2268</v>
      </c>
      <c r="J27" s="129">
        <v>2023.0</v>
      </c>
      <c r="K27" s="113" t="s">
        <v>62</v>
      </c>
      <c r="L27" s="122"/>
    </row>
    <row r="28">
      <c r="A28" s="113"/>
      <c r="B28" s="111"/>
      <c r="C28" s="111"/>
      <c r="D28" s="111"/>
      <c r="E28" s="113"/>
      <c r="F28" s="113"/>
      <c r="G28" s="128"/>
      <c r="H28" s="128"/>
      <c r="I28" s="111"/>
      <c r="J28" s="129"/>
      <c r="K28" s="113"/>
      <c r="L28" s="122"/>
    </row>
    <row r="29">
      <c r="A29" s="113"/>
      <c r="B29" s="111"/>
      <c r="C29" s="111"/>
      <c r="D29" s="111"/>
      <c r="E29" s="113"/>
      <c r="F29" s="113"/>
      <c r="G29" s="128"/>
      <c r="H29" s="128"/>
      <c r="I29" s="111"/>
      <c r="J29" s="129"/>
      <c r="K29" s="113"/>
      <c r="L29" s="122"/>
    </row>
    <row r="30">
      <c r="A30" s="113"/>
      <c r="B30" s="111"/>
      <c r="C30" s="111"/>
      <c r="D30" s="111"/>
      <c r="E30" s="113"/>
      <c r="F30" s="113"/>
      <c r="G30" s="128"/>
      <c r="H30" s="128"/>
      <c r="I30" s="111"/>
      <c r="J30" s="129"/>
      <c r="K30" s="113"/>
      <c r="L30" s="122"/>
    </row>
    <row r="31">
      <c r="A31" s="113"/>
      <c r="B31" s="111"/>
      <c r="C31" s="111"/>
      <c r="D31" s="111"/>
      <c r="E31" s="113"/>
      <c r="F31" s="113"/>
      <c r="G31" s="128"/>
      <c r="H31" s="128"/>
      <c r="I31" s="111"/>
      <c r="J31" s="129"/>
      <c r="K31" s="113"/>
      <c r="L31" s="122"/>
    </row>
    <row r="32">
      <c r="A32" s="113"/>
      <c r="B32" s="111"/>
      <c r="C32" s="111"/>
      <c r="D32" s="111"/>
      <c r="E32" s="113"/>
      <c r="F32" s="113"/>
      <c r="G32" s="128"/>
      <c r="H32" s="128"/>
      <c r="I32" s="111"/>
      <c r="J32" s="129"/>
      <c r="K32" s="113"/>
      <c r="L32" s="122"/>
    </row>
    <row r="33">
      <c r="A33" s="113"/>
      <c r="B33" s="111"/>
      <c r="C33" s="111"/>
      <c r="D33" s="111"/>
      <c r="E33" s="113"/>
      <c r="F33" s="113"/>
      <c r="G33" s="128"/>
      <c r="H33" s="128"/>
      <c r="I33" s="111"/>
      <c r="J33" s="129"/>
      <c r="K33" s="113"/>
      <c r="L33" s="122"/>
    </row>
    <row r="34">
      <c r="A34" s="113"/>
      <c r="B34" s="111"/>
      <c r="C34" s="111"/>
      <c r="D34" s="111"/>
      <c r="E34" s="113"/>
      <c r="F34" s="113"/>
      <c r="G34" s="128"/>
      <c r="H34" s="128"/>
      <c r="I34" s="111"/>
      <c r="J34" s="129"/>
      <c r="K34" s="113"/>
      <c r="L34" s="122"/>
    </row>
    <row r="35">
      <c r="A35" s="113"/>
      <c r="B35" s="111"/>
      <c r="C35" s="111"/>
      <c r="D35" s="111"/>
      <c r="E35" s="113"/>
      <c r="F35" s="113"/>
      <c r="G35" s="128"/>
      <c r="H35" s="128"/>
      <c r="I35" s="111"/>
      <c r="J35" s="129"/>
      <c r="K35" s="113"/>
      <c r="L35" s="122"/>
    </row>
  </sheetData>
  <dataValidations>
    <dataValidation type="list" allowBlank="1" showErrorMessage="1" sqref="B2:B27">
      <formula1>"法律,法規命令,行政規則,參考標準,參考指引"</formula1>
    </dataValidation>
    <dataValidation type="list" allowBlank="1" showErrorMessage="1" sqref="A2:A27">
      <formula1>"臺灣法規,國外標準"</formula1>
    </dataValidation>
  </dataValidations>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10"/>
    <hyperlink r:id="rId16" ref="G10"/>
    <hyperlink r:id="rId17" location="lawmenu" ref="G11"/>
    <hyperlink r:id="rId18" ref="F12"/>
    <hyperlink r:id="rId19" ref="G12"/>
    <hyperlink r:id="rId20" ref="F13"/>
    <hyperlink r:id="rId21" ref="G13"/>
    <hyperlink r:id="rId22" ref="F14"/>
    <hyperlink r:id="rId23" ref="G14"/>
    <hyperlink r:id="rId24" ref="F15"/>
    <hyperlink r:id="rId25" ref="G15"/>
    <hyperlink r:id="rId26" ref="F16"/>
    <hyperlink r:id="rId27" ref="G16"/>
    <hyperlink r:id="rId28" ref="G17"/>
    <hyperlink r:id="rId29" ref="F18"/>
    <hyperlink r:id="rId30" ref="G18"/>
    <hyperlink r:id="rId31" location="table" ref="F19"/>
    <hyperlink r:id="rId32" ref="G19"/>
    <hyperlink r:id="rId33" ref="F20"/>
    <hyperlink r:id="rId34" ref="G20"/>
    <hyperlink r:id="rId35" ref="F21"/>
    <hyperlink r:id="rId36" ref="G21"/>
    <hyperlink r:id="rId37" ref="F22"/>
    <hyperlink r:id="rId38" ref="G22"/>
    <hyperlink r:id="rId39" ref="F23"/>
    <hyperlink r:id="rId40" ref="G23"/>
    <hyperlink r:id="rId41" ref="G24"/>
    <hyperlink r:id="rId42" ref="G25"/>
    <hyperlink r:id="rId43" ref="F26"/>
    <hyperlink r:id="rId44" ref="G26"/>
    <hyperlink r:id="rId45" ref="G27"/>
  </hyperlinks>
  <drawing r:id="rId4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6.0"/>
    <col customWidth="1" min="5" max="5" width="24.25"/>
    <col customWidth="1" min="6" max="6" width="41.38"/>
    <col customWidth="1" min="7" max="7" width="60.75"/>
    <col customWidth="1" min="8" max="8" width="31.88"/>
    <col customWidth="1" min="9" max="9" width="24.13"/>
  </cols>
  <sheetData>
    <row r="1">
      <c r="A1" s="113" t="s">
        <v>1968</v>
      </c>
      <c r="B1" s="113" t="s">
        <v>2269</v>
      </c>
      <c r="C1" s="113" t="s">
        <v>2270</v>
      </c>
      <c r="D1" s="113" t="s">
        <v>2271</v>
      </c>
      <c r="E1" s="111" t="s">
        <v>2272</v>
      </c>
      <c r="F1" s="111" t="s">
        <v>2273</v>
      </c>
      <c r="G1" s="111" t="s">
        <v>2274</v>
      </c>
      <c r="H1" s="111" t="s">
        <v>2275</v>
      </c>
      <c r="I1" s="116" t="s">
        <v>2276</v>
      </c>
    </row>
    <row r="2">
      <c r="A2" s="113">
        <v>1.0</v>
      </c>
      <c r="B2" s="113" t="s">
        <v>2277</v>
      </c>
      <c r="C2" s="113" t="s">
        <v>2278</v>
      </c>
      <c r="D2" s="113" t="s">
        <v>2279</v>
      </c>
      <c r="E2" s="111" t="s">
        <v>2280</v>
      </c>
      <c r="F2" s="34" t="s">
        <v>2281</v>
      </c>
      <c r="G2" s="68" t="s">
        <v>2282</v>
      </c>
      <c r="H2" s="68" t="s">
        <v>2283</v>
      </c>
      <c r="I2" s="119" t="s">
        <v>2284</v>
      </c>
    </row>
    <row r="3">
      <c r="A3" s="113">
        <v>2.0</v>
      </c>
      <c r="B3" s="113" t="s">
        <v>2277</v>
      </c>
      <c r="C3" s="113" t="s">
        <v>2285</v>
      </c>
      <c r="D3" s="113" t="s">
        <v>2286</v>
      </c>
      <c r="E3" s="111" t="s">
        <v>2287</v>
      </c>
      <c r="F3" s="111" t="s">
        <v>2288</v>
      </c>
      <c r="G3" s="134"/>
      <c r="H3" s="134"/>
      <c r="I3" s="119" t="s">
        <v>2289</v>
      </c>
    </row>
    <row r="4">
      <c r="A4" s="113">
        <v>3.0</v>
      </c>
      <c r="B4" s="113" t="s">
        <v>2277</v>
      </c>
      <c r="C4" s="113" t="s">
        <v>2290</v>
      </c>
      <c r="D4" s="113" t="s">
        <v>2291</v>
      </c>
      <c r="E4" s="111" t="s">
        <v>2287</v>
      </c>
      <c r="F4" s="122"/>
      <c r="G4" s="134"/>
      <c r="H4" s="134"/>
      <c r="I4" s="119" t="s">
        <v>2284</v>
      </c>
    </row>
    <row r="5">
      <c r="A5" s="113">
        <v>4.0</v>
      </c>
      <c r="B5" s="113" t="s">
        <v>2277</v>
      </c>
      <c r="C5" s="113" t="s">
        <v>2292</v>
      </c>
      <c r="D5" s="113" t="s">
        <v>2291</v>
      </c>
      <c r="E5" s="111" t="s">
        <v>2293</v>
      </c>
      <c r="F5" s="122"/>
      <c r="G5" s="134"/>
      <c r="H5" s="134"/>
      <c r="I5" s="119" t="s">
        <v>2284</v>
      </c>
    </row>
    <row r="6">
      <c r="A6" s="113">
        <v>5.0</v>
      </c>
      <c r="B6" s="113" t="s">
        <v>2294</v>
      </c>
      <c r="D6" s="113" t="s">
        <v>2295</v>
      </c>
      <c r="E6" s="122"/>
      <c r="F6" s="111" t="s">
        <v>2296</v>
      </c>
      <c r="G6" s="122"/>
      <c r="H6" s="122"/>
      <c r="I6" s="118"/>
    </row>
    <row r="7">
      <c r="A7" s="113">
        <v>6.0</v>
      </c>
      <c r="E7" s="122"/>
      <c r="F7" s="122"/>
      <c r="G7" s="122"/>
      <c r="H7" s="122"/>
      <c r="I7" s="118"/>
    </row>
    <row r="8">
      <c r="A8" s="113">
        <v>7.0</v>
      </c>
      <c r="E8" s="122"/>
      <c r="F8" s="122"/>
      <c r="G8" s="122"/>
      <c r="H8" s="122"/>
      <c r="I8" s="118"/>
    </row>
    <row r="9">
      <c r="A9" s="113">
        <v>8.0</v>
      </c>
      <c r="E9" s="122"/>
      <c r="F9" s="122"/>
      <c r="G9" s="122"/>
      <c r="H9" s="122"/>
      <c r="I9" s="118"/>
    </row>
    <row r="10">
      <c r="A10" s="113">
        <v>9.0</v>
      </c>
      <c r="E10" s="122"/>
      <c r="F10" s="122"/>
      <c r="G10" s="122"/>
      <c r="H10" s="122"/>
      <c r="I10" s="118"/>
    </row>
    <row r="11">
      <c r="A11" s="113">
        <v>10.0</v>
      </c>
      <c r="E11" s="122"/>
      <c r="F11" s="122"/>
      <c r="G11" s="122"/>
      <c r="H11" s="122"/>
      <c r="I11" s="118"/>
    </row>
    <row r="12">
      <c r="A12" s="113">
        <v>11.0</v>
      </c>
      <c r="E12" s="122"/>
      <c r="F12" s="122"/>
      <c r="G12" s="122"/>
      <c r="H12" s="122"/>
      <c r="I12" s="118"/>
    </row>
    <row r="13">
      <c r="A13" s="113">
        <v>12.0</v>
      </c>
      <c r="E13" s="122"/>
      <c r="F13" s="122"/>
      <c r="G13" s="122"/>
      <c r="H13" s="122"/>
      <c r="I13" s="118"/>
    </row>
    <row r="14">
      <c r="A14" s="113">
        <v>13.0</v>
      </c>
      <c r="E14" s="122"/>
      <c r="F14" s="122"/>
      <c r="G14" s="122"/>
      <c r="H14" s="122"/>
      <c r="I14" s="118"/>
    </row>
    <row r="15">
      <c r="A15" s="113">
        <v>14.0</v>
      </c>
      <c r="E15" s="122"/>
      <c r="F15" s="122"/>
      <c r="G15" s="122"/>
      <c r="H15" s="122"/>
      <c r="I15" s="118"/>
    </row>
    <row r="16">
      <c r="A16" s="113">
        <v>15.0</v>
      </c>
      <c r="E16" s="122"/>
      <c r="F16" s="122"/>
      <c r="G16" s="122"/>
      <c r="H16" s="122"/>
      <c r="I16" s="118"/>
    </row>
    <row r="17">
      <c r="A17" s="113">
        <v>16.0</v>
      </c>
      <c r="E17" s="122"/>
      <c r="F17" s="122"/>
      <c r="G17" s="122"/>
      <c r="H17" s="122"/>
      <c r="I17" s="118"/>
    </row>
    <row r="18">
      <c r="A18" s="113">
        <v>17.0</v>
      </c>
      <c r="E18" s="122"/>
      <c r="F18" s="122"/>
      <c r="G18" s="122"/>
      <c r="H18" s="122"/>
      <c r="I18" s="118"/>
    </row>
    <row r="19">
      <c r="A19" s="113">
        <v>18.0</v>
      </c>
      <c r="E19" s="122"/>
      <c r="F19" s="122"/>
      <c r="G19" s="122"/>
      <c r="H19" s="122"/>
      <c r="I19" s="118"/>
    </row>
    <row r="20">
      <c r="A20" s="113">
        <v>19.0</v>
      </c>
      <c r="E20" s="122"/>
      <c r="F20" s="122"/>
      <c r="G20" s="122"/>
      <c r="H20" s="122"/>
      <c r="I20" s="118"/>
    </row>
    <row r="21">
      <c r="A21" s="113">
        <v>20.0</v>
      </c>
      <c r="E21" s="122"/>
      <c r="F21" s="122"/>
      <c r="G21" s="122"/>
      <c r="H21" s="122"/>
      <c r="I21" s="118"/>
    </row>
    <row r="22">
      <c r="E22" s="122"/>
      <c r="F22" s="122"/>
      <c r="G22" s="122"/>
      <c r="H22" s="122"/>
      <c r="I22" s="118"/>
    </row>
    <row r="23">
      <c r="E23" s="122"/>
      <c r="F23" s="122"/>
      <c r="G23" s="122"/>
      <c r="H23" s="122"/>
      <c r="I23" s="118"/>
    </row>
    <row r="24">
      <c r="E24" s="122"/>
      <c r="F24" s="122"/>
      <c r="G24" s="122"/>
      <c r="H24" s="122"/>
      <c r="I24" s="118"/>
    </row>
    <row r="25">
      <c r="E25" s="122"/>
      <c r="F25" s="122"/>
      <c r="G25" s="122"/>
      <c r="H25" s="122"/>
      <c r="I25" s="118"/>
    </row>
    <row r="26">
      <c r="E26" s="122"/>
      <c r="F26" s="122"/>
      <c r="G26" s="122"/>
      <c r="H26" s="122"/>
      <c r="I26" s="118"/>
    </row>
    <row r="27">
      <c r="E27" s="122"/>
      <c r="F27" s="122"/>
      <c r="G27" s="122"/>
      <c r="H27" s="122"/>
      <c r="I27" s="118"/>
    </row>
    <row r="28">
      <c r="E28" s="122"/>
      <c r="F28" s="122"/>
      <c r="G28" s="122"/>
      <c r="H28" s="122"/>
      <c r="I28" s="118"/>
    </row>
    <row r="29">
      <c r="E29" s="122"/>
      <c r="F29" s="122"/>
      <c r="G29" s="122"/>
      <c r="H29" s="122"/>
      <c r="I29" s="118"/>
    </row>
    <row r="30">
      <c r="E30" s="122"/>
      <c r="F30" s="122"/>
      <c r="G30" s="122"/>
      <c r="H30" s="122"/>
      <c r="I30" s="118"/>
    </row>
    <row r="31">
      <c r="E31" s="122"/>
      <c r="F31" s="122"/>
      <c r="G31" s="122"/>
      <c r="H31" s="122"/>
      <c r="I31" s="118"/>
    </row>
    <row r="32">
      <c r="E32" s="122"/>
      <c r="F32" s="122"/>
      <c r="G32" s="122"/>
      <c r="H32" s="122"/>
      <c r="I32" s="118"/>
    </row>
    <row r="33">
      <c r="E33" s="122"/>
      <c r="F33" s="122"/>
      <c r="G33" s="122"/>
      <c r="H33" s="122"/>
      <c r="I33" s="118"/>
    </row>
    <row r="34">
      <c r="E34" s="122"/>
      <c r="F34" s="122"/>
      <c r="G34" s="122"/>
      <c r="H34" s="122"/>
      <c r="I34" s="118"/>
    </row>
    <row r="35">
      <c r="E35" s="122"/>
      <c r="F35" s="122"/>
      <c r="G35" s="122"/>
      <c r="H35" s="122"/>
      <c r="I35" s="118"/>
    </row>
    <row r="36">
      <c r="E36" s="122"/>
      <c r="F36" s="122"/>
      <c r="G36" s="122"/>
      <c r="H36" s="122"/>
      <c r="I36" s="118"/>
    </row>
    <row r="37">
      <c r="E37" s="122"/>
      <c r="F37" s="122"/>
      <c r="G37" s="122"/>
      <c r="H37" s="122"/>
      <c r="I37" s="118"/>
    </row>
    <row r="38">
      <c r="E38" s="122"/>
      <c r="F38" s="122"/>
      <c r="G38" s="122"/>
      <c r="H38" s="122"/>
      <c r="I38" s="118"/>
    </row>
    <row r="39">
      <c r="E39" s="122"/>
      <c r="F39" s="122"/>
      <c r="G39" s="122"/>
      <c r="H39" s="122"/>
      <c r="I39" s="118"/>
    </row>
    <row r="40">
      <c r="E40" s="122"/>
      <c r="F40" s="122"/>
      <c r="G40" s="122"/>
      <c r="H40" s="122"/>
      <c r="I40" s="118"/>
    </row>
    <row r="41">
      <c r="E41" s="122"/>
      <c r="F41" s="122"/>
      <c r="G41" s="122"/>
      <c r="H41" s="122"/>
      <c r="I41" s="118"/>
    </row>
    <row r="42">
      <c r="E42" s="122"/>
      <c r="F42" s="122"/>
      <c r="G42" s="122"/>
      <c r="H42" s="122"/>
      <c r="I42" s="118"/>
    </row>
    <row r="43">
      <c r="E43" s="122"/>
      <c r="F43" s="122"/>
      <c r="G43" s="122"/>
      <c r="H43" s="122"/>
      <c r="I43" s="118"/>
    </row>
    <row r="44">
      <c r="E44" s="122"/>
      <c r="F44" s="122"/>
      <c r="G44" s="122"/>
      <c r="H44" s="122"/>
      <c r="I44" s="118"/>
    </row>
    <row r="45">
      <c r="E45" s="122"/>
      <c r="F45" s="122"/>
      <c r="G45" s="122"/>
      <c r="H45" s="122"/>
      <c r="I45" s="118"/>
    </row>
    <row r="46">
      <c r="E46" s="122"/>
      <c r="F46" s="122"/>
      <c r="G46" s="122"/>
      <c r="H46" s="122"/>
      <c r="I46" s="118"/>
    </row>
    <row r="47">
      <c r="E47" s="122"/>
      <c r="F47" s="122"/>
      <c r="G47" s="122"/>
      <c r="H47" s="122"/>
      <c r="I47" s="118"/>
    </row>
    <row r="48">
      <c r="E48" s="122"/>
      <c r="F48" s="122"/>
      <c r="G48" s="122"/>
      <c r="H48" s="122"/>
      <c r="I48" s="118"/>
    </row>
    <row r="49">
      <c r="E49" s="122"/>
      <c r="F49" s="122"/>
      <c r="G49" s="122"/>
      <c r="H49" s="122"/>
      <c r="I49" s="118"/>
    </row>
    <row r="50">
      <c r="E50" s="122"/>
      <c r="F50" s="122"/>
      <c r="G50" s="122"/>
      <c r="H50" s="122"/>
      <c r="I50" s="118"/>
    </row>
    <row r="51">
      <c r="E51" s="122"/>
      <c r="F51" s="122"/>
      <c r="G51" s="122"/>
      <c r="H51" s="122"/>
      <c r="I51" s="118"/>
    </row>
    <row r="52">
      <c r="E52" s="122"/>
      <c r="F52" s="122"/>
      <c r="G52" s="122"/>
      <c r="H52" s="122"/>
      <c r="I52" s="118"/>
    </row>
    <row r="53">
      <c r="E53" s="122"/>
      <c r="F53" s="122"/>
      <c r="G53" s="122"/>
      <c r="H53" s="122"/>
      <c r="I53" s="118"/>
    </row>
    <row r="54">
      <c r="E54" s="122"/>
      <c r="F54" s="122"/>
      <c r="G54" s="122"/>
      <c r="H54" s="122"/>
      <c r="I54" s="118"/>
    </row>
    <row r="55">
      <c r="E55" s="122"/>
      <c r="F55" s="122"/>
      <c r="G55" s="122"/>
      <c r="H55" s="122"/>
      <c r="I55" s="118"/>
    </row>
    <row r="56">
      <c r="E56" s="122"/>
      <c r="F56" s="122"/>
      <c r="G56" s="122"/>
      <c r="H56" s="122"/>
      <c r="I56" s="118"/>
    </row>
    <row r="57">
      <c r="E57" s="122"/>
      <c r="F57" s="122"/>
      <c r="G57" s="122"/>
      <c r="H57" s="122"/>
      <c r="I57" s="118"/>
    </row>
    <row r="58">
      <c r="E58" s="122"/>
      <c r="F58" s="122"/>
      <c r="G58" s="122"/>
      <c r="H58" s="122"/>
      <c r="I58" s="118"/>
    </row>
    <row r="59">
      <c r="E59" s="122"/>
      <c r="F59" s="122"/>
      <c r="G59" s="122"/>
      <c r="H59" s="122"/>
      <c r="I59" s="118"/>
    </row>
    <row r="60">
      <c r="E60" s="122"/>
      <c r="F60" s="122"/>
      <c r="G60" s="122"/>
      <c r="H60" s="122"/>
      <c r="I60" s="118"/>
    </row>
    <row r="61">
      <c r="E61" s="122"/>
      <c r="F61" s="122"/>
      <c r="G61" s="122"/>
      <c r="H61" s="122"/>
      <c r="I61" s="118"/>
    </row>
    <row r="62">
      <c r="E62" s="122"/>
      <c r="F62" s="122"/>
      <c r="G62" s="122"/>
      <c r="H62" s="122"/>
      <c r="I62" s="118"/>
    </row>
    <row r="63">
      <c r="E63" s="122"/>
      <c r="F63" s="122"/>
      <c r="G63" s="122"/>
      <c r="H63" s="122"/>
      <c r="I63" s="118"/>
    </row>
    <row r="64">
      <c r="E64" s="122"/>
      <c r="F64" s="122"/>
      <c r="G64" s="122"/>
      <c r="H64" s="122"/>
      <c r="I64" s="118"/>
    </row>
    <row r="65">
      <c r="E65" s="122"/>
      <c r="F65" s="122"/>
      <c r="G65" s="122"/>
      <c r="H65" s="122"/>
      <c r="I65" s="118"/>
    </row>
    <row r="66">
      <c r="E66" s="122"/>
      <c r="F66" s="122"/>
      <c r="G66" s="122"/>
      <c r="H66" s="122"/>
      <c r="I66" s="118"/>
    </row>
    <row r="67">
      <c r="E67" s="122"/>
      <c r="F67" s="122"/>
      <c r="G67" s="122"/>
      <c r="H67" s="122"/>
      <c r="I67" s="118"/>
    </row>
    <row r="68">
      <c r="E68" s="122"/>
      <c r="F68" s="122"/>
      <c r="G68" s="122"/>
      <c r="H68" s="122"/>
      <c r="I68" s="118"/>
    </row>
    <row r="69">
      <c r="E69" s="122"/>
      <c r="F69" s="122"/>
      <c r="G69" s="122"/>
      <c r="H69" s="122"/>
      <c r="I69" s="118"/>
    </row>
    <row r="70">
      <c r="E70" s="122"/>
      <c r="F70" s="122"/>
      <c r="G70" s="122"/>
      <c r="H70" s="122"/>
      <c r="I70" s="118"/>
    </row>
    <row r="71">
      <c r="E71" s="122"/>
      <c r="F71" s="122"/>
      <c r="G71" s="122"/>
      <c r="H71" s="122"/>
      <c r="I71" s="118"/>
    </row>
    <row r="72">
      <c r="E72" s="122"/>
      <c r="F72" s="122"/>
      <c r="G72" s="122"/>
      <c r="H72" s="122"/>
      <c r="I72" s="118"/>
    </row>
    <row r="73">
      <c r="E73" s="122"/>
      <c r="F73" s="122"/>
      <c r="G73" s="122"/>
      <c r="H73" s="122"/>
      <c r="I73" s="118"/>
    </row>
    <row r="74">
      <c r="E74" s="122"/>
      <c r="F74" s="122"/>
      <c r="G74" s="122"/>
      <c r="H74" s="122"/>
      <c r="I74" s="118"/>
    </row>
    <row r="75">
      <c r="E75" s="122"/>
      <c r="F75" s="122"/>
      <c r="G75" s="122"/>
      <c r="H75" s="122"/>
      <c r="I75" s="118"/>
    </row>
    <row r="76">
      <c r="E76" s="122"/>
      <c r="F76" s="122"/>
      <c r="G76" s="122"/>
      <c r="H76" s="122"/>
      <c r="I76" s="118"/>
    </row>
    <row r="77">
      <c r="E77" s="122"/>
      <c r="F77" s="122"/>
      <c r="G77" s="122"/>
      <c r="H77" s="122"/>
      <c r="I77" s="118"/>
    </row>
    <row r="78">
      <c r="E78" s="122"/>
      <c r="F78" s="122"/>
      <c r="G78" s="122"/>
      <c r="H78" s="122"/>
      <c r="I78" s="118"/>
    </row>
    <row r="79">
      <c r="E79" s="122"/>
      <c r="F79" s="122"/>
      <c r="G79" s="122"/>
      <c r="H79" s="122"/>
      <c r="I79" s="118"/>
    </row>
    <row r="80">
      <c r="E80" s="122"/>
      <c r="F80" s="122"/>
      <c r="G80" s="122"/>
      <c r="H80" s="122"/>
      <c r="I80" s="118"/>
    </row>
    <row r="81">
      <c r="E81" s="122"/>
      <c r="F81" s="122"/>
      <c r="G81" s="122"/>
      <c r="H81" s="122"/>
      <c r="I81" s="118"/>
    </row>
    <row r="82">
      <c r="E82" s="122"/>
      <c r="F82" s="122"/>
      <c r="G82" s="122"/>
      <c r="H82" s="122"/>
      <c r="I82" s="118"/>
    </row>
    <row r="83">
      <c r="E83" s="122"/>
      <c r="F83" s="122"/>
      <c r="G83" s="122"/>
      <c r="H83" s="122"/>
      <c r="I83" s="118"/>
    </row>
    <row r="84">
      <c r="E84" s="122"/>
      <c r="F84" s="122"/>
      <c r="G84" s="122"/>
      <c r="H84" s="122"/>
      <c r="I84" s="118"/>
    </row>
    <row r="85">
      <c r="E85" s="122"/>
      <c r="F85" s="122"/>
      <c r="G85" s="122"/>
      <c r="H85" s="122"/>
      <c r="I85" s="118"/>
    </row>
    <row r="86">
      <c r="E86" s="122"/>
      <c r="F86" s="122"/>
      <c r="G86" s="122"/>
      <c r="H86" s="122"/>
      <c r="I86" s="118"/>
    </row>
    <row r="87">
      <c r="E87" s="122"/>
      <c r="F87" s="122"/>
      <c r="G87" s="122"/>
      <c r="H87" s="122"/>
      <c r="I87" s="118"/>
    </row>
    <row r="88">
      <c r="E88" s="122"/>
      <c r="F88" s="122"/>
      <c r="G88" s="122"/>
      <c r="H88" s="122"/>
      <c r="I88" s="118"/>
    </row>
    <row r="89">
      <c r="E89" s="122"/>
      <c r="F89" s="122"/>
      <c r="G89" s="122"/>
      <c r="H89" s="122"/>
      <c r="I89" s="118"/>
    </row>
    <row r="90">
      <c r="E90" s="122"/>
      <c r="F90" s="122"/>
      <c r="G90" s="122"/>
      <c r="H90" s="122"/>
      <c r="I90" s="118"/>
    </row>
    <row r="91">
      <c r="E91" s="122"/>
      <c r="F91" s="122"/>
      <c r="G91" s="122"/>
      <c r="H91" s="122"/>
      <c r="I91" s="118"/>
    </row>
    <row r="92">
      <c r="E92" s="122"/>
      <c r="F92" s="122"/>
      <c r="G92" s="122"/>
      <c r="H92" s="122"/>
      <c r="I92" s="118"/>
    </row>
    <row r="93">
      <c r="E93" s="122"/>
      <c r="F93" s="122"/>
      <c r="G93" s="122"/>
      <c r="H93" s="122"/>
      <c r="I93" s="118"/>
    </row>
    <row r="94">
      <c r="E94" s="122"/>
      <c r="F94" s="122"/>
      <c r="G94" s="122"/>
      <c r="H94" s="122"/>
      <c r="I94" s="118"/>
    </row>
    <row r="95">
      <c r="E95" s="122"/>
      <c r="F95" s="122"/>
      <c r="G95" s="122"/>
      <c r="H95" s="122"/>
      <c r="I95" s="118"/>
    </row>
    <row r="96">
      <c r="E96" s="122"/>
      <c r="F96" s="122"/>
      <c r="G96" s="122"/>
      <c r="H96" s="122"/>
      <c r="I96" s="118"/>
    </row>
    <row r="97">
      <c r="E97" s="122"/>
      <c r="F97" s="122"/>
      <c r="G97" s="122"/>
      <c r="H97" s="122"/>
      <c r="I97" s="118"/>
    </row>
    <row r="98">
      <c r="E98" s="122"/>
      <c r="F98" s="122"/>
      <c r="G98" s="122"/>
      <c r="H98" s="122"/>
      <c r="I98" s="118"/>
    </row>
    <row r="99">
      <c r="E99" s="122"/>
      <c r="F99" s="122"/>
      <c r="G99" s="122"/>
      <c r="H99" s="122"/>
      <c r="I99" s="118"/>
    </row>
    <row r="100">
      <c r="E100" s="122"/>
      <c r="F100" s="122"/>
      <c r="G100" s="122"/>
      <c r="H100" s="122"/>
      <c r="I100" s="118"/>
    </row>
    <row r="101">
      <c r="E101" s="122"/>
      <c r="F101" s="122"/>
      <c r="G101" s="122"/>
      <c r="H101" s="122"/>
      <c r="I101" s="118"/>
    </row>
    <row r="102">
      <c r="E102" s="122"/>
      <c r="F102" s="122"/>
      <c r="G102" s="122"/>
      <c r="H102" s="122"/>
      <c r="I102" s="118"/>
    </row>
    <row r="103">
      <c r="E103" s="122"/>
      <c r="F103" s="122"/>
      <c r="G103" s="122"/>
      <c r="H103" s="122"/>
      <c r="I103" s="118"/>
    </row>
    <row r="104">
      <c r="E104" s="122"/>
      <c r="F104" s="122"/>
      <c r="G104" s="122"/>
      <c r="H104" s="122"/>
      <c r="I104" s="118"/>
    </row>
    <row r="105">
      <c r="E105" s="122"/>
      <c r="F105" s="122"/>
      <c r="G105" s="122"/>
      <c r="H105" s="122"/>
      <c r="I105" s="118"/>
    </row>
    <row r="106">
      <c r="E106" s="122"/>
      <c r="F106" s="122"/>
      <c r="G106" s="122"/>
      <c r="H106" s="122"/>
      <c r="I106" s="118"/>
    </row>
    <row r="107">
      <c r="E107" s="122"/>
      <c r="F107" s="122"/>
      <c r="G107" s="122"/>
      <c r="H107" s="122"/>
      <c r="I107" s="118"/>
    </row>
    <row r="108">
      <c r="E108" s="122"/>
      <c r="F108" s="122"/>
      <c r="G108" s="122"/>
      <c r="H108" s="122"/>
      <c r="I108" s="118"/>
    </row>
    <row r="109">
      <c r="E109" s="122"/>
      <c r="F109" s="122"/>
      <c r="G109" s="122"/>
      <c r="H109" s="122"/>
      <c r="I109" s="118"/>
    </row>
    <row r="110">
      <c r="E110" s="122"/>
      <c r="F110" s="122"/>
      <c r="G110" s="122"/>
      <c r="H110" s="122"/>
      <c r="I110" s="118"/>
    </row>
    <row r="111">
      <c r="E111" s="122"/>
      <c r="F111" s="122"/>
      <c r="G111" s="122"/>
      <c r="H111" s="122"/>
      <c r="I111" s="118"/>
    </row>
    <row r="112">
      <c r="E112" s="122"/>
      <c r="F112" s="122"/>
      <c r="G112" s="122"/>
      <c r="H112" s="122"/>
      <c r="I112" s="118"/>
    </row>
    <row r="113">
      <c r="E113" s="122"/>
      <c r="F113" s="122"/>
      <c r="G113" s="122"/>
      <c r="H113" s="122"/>
      <c r="I113" s="118"/>
    </row>
    <row r="114">
      <c r="E114" s="122"/>
      <c r="F114" s="122"/>
      <c r="G114" s="122"/>
      <c r="H114" s="122"/>
      <c r="I114" s="118"/>
    </row>
    <row r="115">
      <c r="E115" s="122"/>
      <c r="F115" s="122"/>
      <c r="G115" s="122"/>
      <c r="H115" s="122"/>
      <c r="I115" s="118"/>
    </row>
    <row r="116">
      <c r="E116" s="122"/>
      <c r="F116" s="122"/>
      <c r="G116" s="122"/>
      <c r="H116" s="122"/>
      <c r="I116" s="118"/>
    </row>
    <row r="117">
      <c r="E117" s="122"/>
      <c r="F117" s="122"/>
      <c r="G117" s="122"/>
      <c r="H117" s="122"/>
      <c r="I117" s="118"/>
    </row>
    <row r="118">
      <c r="E118" s="122"/>
      <c r="F118" s="122"/>
      <c r="G118" s="122"/>
      <c r="H118" s="122"/>
      <c r="I118" s="118"/>
    </row>
    <row r="119">
      <c r="E119" s="122"/>
      <c r="F119" s="122"/>
      <c r="G119" s="122"/>
      <c r="H119" s="122"/>
      <c r="I119" s="118"/>
    </row>
    <row r="120">
      <c r="E120" s="122"/>
      <c r="F120" s="122"/>
      <c r="G120" s="122"/>
      <c r="H120" s="122"/>
      <c r="I120" s="118"/>
    </row>
    <row r="121">
      <c r="E121" s="122"/>
      <c r="F121" s="122"/>
      <c r="G121" s="122"/>
      <c r="H121" s="122"/>
      <c r="I121" s="118"/>
    </row>
    <row r="122">
      <c r="E122" s="122"/>
      <c r="F122" s="122"/>
      <c r="G122" s="122"/>
      <c r="H122" s="122"/>
      <c r="I122" s="118"/>
    </row>
    <row r="123">
      <c r="E123" s="122"/>
      <c r="F123" s="122"/>
      <c r="G123" s="122"/>
      <c r="H123" s="122"/>
      <c r="I123" s="118"/>
    </row>
    <row r="124">
      <c r="E124" s="122"/>
      <c r="F124" s="122"/>
      <c r="G124" s="122"/>
      <c r="H124" s="122"/>
      <c r="I124" s="118"/>
    </row>
    <row r="125">
      <c r="E125" s="122"/>
      <c r="F125" s="122"/>
      <c r="G125" s="122"/>
      <c r="H125" s="122"/>
      <c r="I125" s="118"/>
    </row>
    <row r="126">
      <c r="E126" s="122"/>
      <c r="F126" s="122"/>
      <c r="G126" s="122"/>
      <c r="H126" s="122"/>
      <c r="I126" s="118"/>
    </row>
    <row r="127">
      <c r="E127" s="122"/>
      <c r="F127" s="122"/>
      <c r="G127" s="122"/>
      <c r="H127" s="122"/>
      <c r="I127" s="118"/>
    </row>
    <row r="128">
      <c r="E128" s="122"/>
      <c r="F128" s="122"/>
      <c r="G128" s="122"/>
      <c r="H128" s="122"/>
      <c r="I128" s="118"/>
    </row>
    <row r="129">
      <c r="E129" s="122"/>
      <c r="F129" s="122"/>
      <c r="G129" s="122"/>
      <c r="H129" s="122"/>
      <c r="I129" s="118"/>
    </row>
    <row r="130">
      <c r="E130" s="122"/>
      <c r="F130" s="122"/>
      <c r="G130" s="122"/>
      <c r="H130" s="122"/>
      <c r="I130" s="118"/>
    </row>
    <row r="131">
      <c r="E131" s="122"/>
      <c r="F131" s="122"/>
      <c r="G131" s="122"/>
      <c r="H131" s="122"/>
      <c r="I131" s="118"/>
    </row>
    <row r="132">
      <c r="E132" s="122"/>
      <c r="F132" s="122"/>
      <c r="G132" s="122"/>
      <c r="H132" s="122"/>
      <c r="I132" s="118"/>
    </row>
    <row r="133">
      <c r="E133" s="122"/>
      <c r="F133" s="122"/>
      <c r="G133" s="122"/>
      <c r="H133" s="122"/>
      <c r="I133" s="118"/>
    </row>
    <row r="134">
      <c r="E134" s="122"/>
      <c r="F134" s="122"/>
      <c r="G134" s="122"/>
      <c r="H134" s="122"/>
      <c r="I134" s="118"/>
    </row>
    <row r="135">
      <c r="E135" s="122"/>
      <c r="F135" s="122"/>
      <c r="G135" s="122"/>
      <c r="H135" s="122"/>
      <c r="I135" s="118"/>
    </row>
    <row r="136">
      <c r="E136" s="122"/>
      <c r="F136" s="122"/>
      <c r="G136" s="122"/>
      <c r="H136" s="122"/>
      <c r="I136" s="118"/>
    </row>
    <row r="137">
      <c r="E137" s="122"/>
      <c r="F137" s="122"/>
      <c r="G137" s="122"/>
      <c r="H137" s="122"/>
      <c r="I137" s="118"/>
    </row>
    <row r="138">
      <c r="E138" s="122"/>
      <c r="F138" s="122"/>
      <c r="G138" s="122"/>
      <c r="H138" s="122"/>
      <c r="I138" s="118"/>
    </row>
    <row r="139">
      <c r="E139" s="122"/>
      <c r="F139" s="122"/>
      <c r="G139" s="122"/>
      <c r="H139" s="122"/>
      <c r="I139" s="118"/>
    </row>
    <row r="140">
      <c r="E140" s="122"/>
      <c r="F140" s="122"/>
      <c r="G140" s="122"/>
      <c r="H140" s="122"/>
      <c r="I140" s="118"/>
    </row>
    <row r="141">
      <c r="E141" s="122"/>
      <c r="F141" s="122"/>
      <c r="G141" s="122"/>
      <c r="H141" s="122"/>
      <c r="I141" s="118"/>
    </row>
    <row r="142">
      <c r="E142" s="122"/>
      <c r="F142" s="122"/>
      <c r="G142" s="122"/>
      <c r="H142" s="122"/>
      <c r="I142" s="118"/>
    </row>
    <row r="143">
      <c r="E143" s="122"/>
      <c r="F143" s="122"/>
      <c r="G143" s="122"/>
      <c r="H143" s="122"/>
      <c r="I143" s="118"/>
    </row>
    <row r="144">
      <c r="E144" s="122"/>
      <c r="F144" s="122"/>
      <c r="G144" s="122"/>
      <c r="H144" s="122"/>
      <c r="I144" s="118"/>
    </row>
    <row r="145">
      <c r="E145" s="122"/>
      <c r="F145" s="122"/>
      <c r="G145" s="122"/>
      <c r="H145" s="122"/>
      <c r="I145" s="118"/>
    </row>
    <row r="146">
      <c r="E146" s="122"/>
      <c r="F146" s="122"/>
      <c r="G146" s="122"/>
      <c r="H146" s="122"/>
      <c r="I146" s="118"/>
    </row>
    <row r="147">
      <c r="E147" s="122"/>
      <c r="F147" s="122"/>
      <c r="G147" s="122"/>
      <c r="H147" s="122"/>
      <c r="I147" s="118"/>
    </row>
    <row r="148">
      <c r="E148" s="122"/>
      <c r="F148" s="122"/>
      <c r="G148" s="122"/>
      <c r="H148" s="122"/>
      <c r="I148" s="118"/>
    </row>
    <row r="149">
      <c r="E149" s="122"/>
      <c r="F149" s="122"/>
      <c r="G149" s="122"/>
      <c r="H149" s="122"/>
      <c r="I149" s="118"/>
    </row>
    <row r="150">
      <c r="E150" s="122"/>
      <c r="F150" s="122"/>
      <c r="G150" s="122"/>
      <c r="H150" s="122"/>
      <c r="I150" s="118"/>
    </row>
    <row r="151">
      <c r="E151" s="122"/>
      <c r="F151" s="122"/>
      <c r="G151" s="122"/>
      <c r="H151" s="122"/>
      <c r="I151" s="118"/>
    </row>
    <row r="152">
      <c r="E152" s="122"/>
      <c r="F152" s="122"/>
      <c r="G152" s="122"/>
      <c r="H152" s="122"/>
      <c r="I152" s="118"/>
    </row>
    <row r="153">
      <c r="E153" s="122"/>
      <c r="F153" s="122"/>
      <c r="G153" s="122"/>
      <c r="H153" s="122"/>
      <c r="I153" s="118"/>
    </row>
    <row r="154">
      <c r="E154" s="122"/>
      <c r="F154" s="122"/>
      <c r="G154" s="122"/>
      <c r="H154" s="122"/>
      <c r="I154" s="118"/>
    </row>
    <row r="155">
      <c r="E155" s="122"/>
      <c r="F155" s="122"/>
      <c r="G155" s="122"/>
      <c r="H155" s="122"/>
      <c r="I155" s="118"/>
    </row>
    <row r="156">
      <c r="E156" s="122"/>
      <c r="F156" s="122"/>
      <c r="G156" s="122"/>
      <c r="H156" s="122"/>
      <c r="I156" s="118"/>
    </row>
    <row r="157">
      <c r="E157" s="122"/>
      <c r="F157" s="122"/>
      <c r="G157" s="122"/>
      <c r="H157" s="122"/>
      <c r="I157" s="118"/>
    </row>
    <row r="158">
      <c r="E158" s="122"/>
      <c r="F158" s="122"/>
      <c r="G158" s="122"/>
      <c r="H158" s="122"/>
      <c r="I158" s="118"/>
    </row>
    <row r="159">
      <c r="E159" s="122"/>
      <c r="F159" s="122"/>
      <c r="G159" s="122"/>
      <c r="H159" s="122"/>
      <c r="I159" s="118"/>
    </row>
    <row r="160">
      <c r="E160" s="122"/>
      <c r="F160" s="122"/>
      <c r="G160" s="122"/>
      <c r="H160" s="122"/>
      <c r="I160" s="118"/>
    </row>
    <row r="161">
      <c r="E161" s="122"/>
      <c r="F161" s="122"/>
      <c r="G161" s="122"/>
      <c r="H161" s="122"/>
      <c r="I161" s="118"/>
    </row>
    <row r="162">
      <c r="E162" s="122"/>
      <c r="F162" s="122"/>
      <c r="G162" s="122"/>
      <c r="H162" s="122"/>
      <c r="I162" s="118"/>
    </row>
    <row r="163">
      <c r="E163" s="122"/>
      <c r="F163" s="122"/>
      <c r="G163" s="122"/>
      <c r="H163" s="122"/>
      <c r="I163" s="118"/>
    </row>
    <row r="164">
      <c r="E164" s="122"/>
      <c r="F164" s="122"/>
      <c r="G164" s="122"/>
      <c r="H164" s="122"/>
      <c r="I164" s="118"/>
    </row>
    <row r="165">
      <c r="E165" s="122"/>
      <c r="F165" s="122"/>
      <c r="G165" s="122"/>
      <c r="H165" s="122"/>
      <c r="I165" s="118"/>
    </row>
    <row r="166">
      <c r="E166" s="122"/>
      <c r="F166" s="122"/>
      <c r="G166" s="122"/>
      <c r="H166" s="122"/>
      <c r="I166" s="118"/>
    </row>
    <row r="167">
      <c r="E167" s="122"/>
      <c r="F167" s="122"/>
      <c r="G167" s="122"/>
      <c r="H167" s="122"/>
      <c r="I167" s="118"/>
    </row>
    <row r="168">
      <c r="E168" s="122"/>
      <c r="F168" s="122"/>
      <c r="G168" s="122"/>
      <c r="H168" s="122"/>
      <c r="I168" s="118"/>
    </row>
    <row r="169">
      <c r="E169" s="122"/>
      <c r="F169" s="122"/>
      <c r="G169" s="122"/>
      <c r="H169" s="122"/>
      <c r="I169" s="118"/>
    </row>
    <row r="170">
      <c r="E170" s="122"/>
      <c r="F170" s="122"/>
      <c r="G170" s="122"/>
      <c r="H170" s="122"/>
      <c r="I170" s="118"/>
    </row>
    <row r="171">
      <c r="E171" s="122"/>
      <c r="F171" s="122"/>
      <c r="G171" s="122"/>
      <c r="H171" s="122"/>
      <c r="I171" s="118"/>
    </row>
    <row r="172">
      <c r="E172" s="122"/>
      <c r="F172" s="122"/>
      <c r="G172" s="122"/>
      <c r="H172" s="122"/>
      <c r="I172" s="118"/>
    </row>
    <row r="173">
      <c r="E173" s="122"/>
      <c r="F173" s="122"/>
      <c r="G173" s="122"/>
      <c r="H173" s="122"/>
      <c r="I173" s="118"/>
    </row>
    <row r="174">
      <c r="E174" s="122"/>
      <c r="F174" s="122"/>
      <c r="G174" s="122"/>
      <c r="H174" s="122"/>
      <c r="I174" s="118"/>
    </row>
    <row r="175">
      <c r="E175" s="122"/>
      <c r="F175" s="122"/>
      <c r="G175" s="122"/>
      <c r="H175" s="122"/>
      <c r="I175" s="118"/>
    </row>
    <row r="176">
      <c r="E176" s="122"/>
      <c r="F176" s="122"/>
      <c r="G176" s="122"/>
      <c r="H176" s="122"/>
      <c r="I176" s="118"/>
    </row>
    <row r="177">
      <c r="E177" s="122"/>
      <c r="F177" s="122"/>
      <c r="G177" s="122"/>
      <c r="H177" s="122"/>
      <c r="I177" s="118"/>
    </row>
    <row r="178">
      <c r="E178" s="122"/>
      <c r="F178" s="122"/>
      <c r="G178" s="122"/>
      <c r="H178" s="122"/>
      <c r="I178" s="118"/>
    </row>
    <row r="179">
      <c r="E179" s="122"/>
      <c r="F179" s="122"/>
      <c r="G179" s="122"/>
      <c r="H179" s="122"/>
      <c r="I179" s="118"/>
    </row>
    <row r="180">
      <c r="E180" s="122"/>
      <c r="F180" s="122"/>
      <c r="G180" s="122"/>
      <c r="H180" s="122"/>
      <c r="I180" s="118"/>
    </row>
    <row r="181">
      <c r="E181" s="122"/>
      <c r="F181" s="122"/>
      <c r="G181" s="122"/>
      <c r="H181" s="122"/>
      <c r="I181" s="118"/>
    </row>
    <row r="182">
      <c r="E182" s="122"/>
      <c r="F182" s="122"/>
      <c r="G182" s="122"/>
      <c r="H182" s="122"/>
      <c r="I182" s="118"/>
    </row>
    <row r="183">
      <c r="E183" s="122"/>
      <c r="F183" s="122"/>
      <c r="G183" s="122"/>
      <c r="H183" s="122"/>
      <c r="I183" s="118"/>
    </row>
    <row r="184">
      <c r="E184" s="122"/>
      <c r="F184" s="122"/>
      <c r="G184" s="122"/>
      <c r="H184" s="122"/>
      <c r="I184" s="118"/>
    </row>
    <row r="185">
      <c r="E185" s="122"/>
      <c r="F185" s="122"/>
      <c r="G185" s="122"/>
      <c r="H185" s="122"/>
      <c r="I185" s="118"/>
    </row>
    <row r="186">
      <c r="E186" s="122"/>
      <c r="F186" s="122"/>
      <c r="G186" s="122"/>
      <c r="H186" s="122"/>
      <c r="I186" s="118"/>
    </row>
    <row r="187">
      <c r="E187" s="122"/>
      <c r="F187" s="122"/>
      <c r="G187" s="122"/>
      <c r="H187" s="122"/>
      <c r="I187" s="118"/>
    </row>
    <row r="188">
      <c r="E188" s="122"/>
      <c r="F188" s="122"/>
      <c r="G188" s="122"/>
      <c r="H188" s="122"/>
      <c r="I188" s="118"/>
    </row>
    <row r="189">
      <c r="E189" s="122"/>
      <c r="F189" s="122"/>
      <c r="G189" s="122"/>
      <c r="H189" s="122"/>
      <c r="I189" s="118"/>
    </row>
    <row r="190">
      <c r="E190" s="122"/>
      <c r="F190" s="122"/>
      <c r="G190" s="122"/>
      <c r="H190" s="122"/>
      <c r="I190" s="118"/>
    </row>
    <row r="191">
      <c r="E191" s="122"/>
      <c r="F191" s="122"/>
      <c r="G191" s="122"/>
      <c r="H191" s="122"/>
      <c r="I191" s="118"/>
    </row>
    <row r="192">
      <c r="E192" s="122"/>
      <c r="F192" s="122"/>
      <c r="G192" s="122"/>
      <c r="H192" s="122"/>
      <c r="I192" s="118"/>
    </row>
    <row r="193">
      <c r="E193" s="122"/>
      <c r="F193" s="122"/>
      <c r="G193" s="122"/>
      <c r="H193" s="122"/>
      <c r="I193" s="118"/>
    </row>
    <row r="194">
      <c r="E194" s="122"/>
      <c r="F194" s="122"/>
      <c r="G194" s="122"/>
      <c r="H194" s="122"/>
      <c r="I194" s="118"/>
    </row>
    <row r="195">
      <c r="E195" s="122"/>
      <c r="F195" s="122"/>
      <c r="G195" s="122"/>
      <c r="H195" s="122"/>
      <c r="I195" s="118"/>
    </row>
    <row r="196">
      <c r="E196" s="122"/>
      <c r="F196" s="122"/>
      <c r="G196" s="122"/>
      <c r="H196" s="122"/>
      <c r="I196" s="118"/>
    </row>
    <row r="197">
      <c r="E197" s="122"/>
      <c r="F197" s="122"/>
      <c r="G197" s="122"/>
      <c r="H197" s="122"/>
      <c r="I197" s="118"/>
    </row>
    <row r="198">
      <c r="E198" s="122"/>
      <c r="F198" s="122"/>
      <c r="G198" s="122"/>
      <c r="H198" s="122"/>
      <c r="I198" s="118"/>
    </row>
    <row r="199">
      <c r="E199" s="122"/>
      <c r="F199" s="122"/>
      <c r="G199" s="122"/>
      <c r="H199" s="122"/>
      <c r="I199" s="118"/>
    </row>
    <row r="200">
      <c r="E200" s="122"/>
      <c r="F200" s="122"/>
      <c r="G200" s="122"/>
      <c r="H200" s="122"/>
      <c r="I200" s="118"/>
    </row>
    <row r="201">
      <c r="E201" s="122"/>
      <c r="F201" s="122"/>
      <c r="G201" s="122"/>
      <c r="H201" s="122"/>
      <c r="I201" s="118"/>
    </row>
    <row r="202">
      <c r="E202" s="122"/>
      <c r="F202" s="122"/>
      <c r="G202" s="122"/>
      <c r="H202" s="122"/>
      <c r="I202" s="118"/>
    </row>
    <row r="203">
      <c r="E203" s="122"/>
      <c r="F203" s="122"/>
      <c r="G203" s="122"/>
      <c r="H203" s="122"/>
      <c r="I203" s="118"/>
    </row>
    <row r="204">
      <c r="E204" s="122"/>
      <c r="F204" s="122"/>
      <c r="G204" s="122"/>
      <c r="H204" s="122"/>
      <c r="I204" s="118"/>
    </row>
    <row r="205">
      <c r="E205" s="122"/>
      <c r="F205" s="122"/>
      <c r="G205" s="122"/>
      <c r="H205" s="122"/>
      <c r="I205" s="118"/>
    </row>
    <row r="206">
      <c r="E206" s="122"/>
      <c r="F206" s="122"/>
      <c r="G206" s="122"/>
      <c r="H206" s="122"/>
      <c r="I206" s="118"/>
    </row>
    <row r="207">
      <c r="E207" s="122"/>
      <c r="F207" s="122"/>
      <c r="G207" s="122"/>
      <c r="H207" s="122"/>
      <c r="I207" s="118"/>
    </row>
    <row r="208">
      <c r="E208" s="122"/>
      <c r="F208" s="122"/>
      <c r="G208" s="122"/>
      <c r="H208" s="122"/>
      <c r="I208" s="118"/>
    </row>
    <row r="209">
      <c r="E209" s="122"/>
      <c r="F209" s="122"/>
      <c r="G209" s="122"/>
      <c r="H209" s="122"/>
      <c r="I209" s="118"/>
    </row>
    <row r="210">
      <c r="E210" s="122"/>
      <c r="F210" s="122"/>
      <c r="G210" s="122"/>
      <c r="H210" s="122"/>
      <c r="I210" s="118"/>
    </row>
    <row r="211">
      <c r="E211" s="122"/>
      <c r="F211" s="122"/>
      <c r="G211" s="122"/>
      <c r="H211" s="122"/>
      <c r="I211" s="118"/>
    </row>
    <row r="212">
      <c r="E212" s="122"/>
      <c r="F212" s="122"/>
      <c r="G212" s="122"/>
      <c r="H212" s="122"/>
      <c r="I212" s="118"/>
    </row>
    <row r="213">
      <c r="E213" s="122"/>
      <c r="F213" s="122"/>
      <c r="G213" s="122"/>
      <c r="H213" s="122"/>
      <c r="I213" s="118"/>
    </row>
    <row r="214">
      <c r="E214" s="122"/>
      <c r="F214" s="122"/>
      <c r="G214" s="122"/>
      <c r="H214" s="122"/>
      <c r="I214" s="118"/>
    </row>
    <row r="215">
      <c r="E215" s="122"/>
      <c r="F215" s="122"/>
      <c r="G215" s="122"/>
      <c r="H215" s="122"/>
      <c r="I215" s="118"/>
    </row>
    <row r="216">
      <c r="E216" s="122"/>
      <c r="F216" s="122"/>
      <c r="G216" s="122"/>
      <c r="H216" s="122"/>
      <c r="I216" s="118"/>
    </row>
    <row r="217">
      <c r="E217" s="122"/>
      <c r="F217" s="122"/>
      <c r="G217" s="122"/>
      <c r="H217" s="122"/>
      <c r="I217" s="118"/>
    </row>
    <row r="218">
      <c r="E218" s="122"/>
      <c r="F218" s="122"/>
      <c r="G218" s="122"/>
      <c r="H218" s="122"/>
      <c r="I218" s="118"/>
    </row>
    <row r="219">
      <c r="E219" s="122"/>
      <c r="F219" s="122"/>
      <c r="G219" s="122"/>
      <c r="H219" s="122"/>
      <c r="I219" s="118"/>
    </row>
    <row r="220">
      <c r="E220" s="122"/>
      <c r="F220" s="122"/>
      <c r="G220" s="122"/>
      <c r="H220" s="122"/>
      <c r="I220" s="118"/>
    </row>
    <row r="221">
      <c r="E221" s="122"/>
      <c r="F221" s="122"/>
      <c r="G221" s="122"/>
      <c r="H221" s="122"/>
      <c r="I221" s="118"/>
    </row>
    <row r="222">
      <c r="E222" s="122"/>
      <c r="F222" s="122"/>
      <c r="G222" s="122"/>
      <c r="H222" s="122"/>
      <c r="I222" s="118"/>
    </row>
    <row r="223">
      <c r="E223" s="122"/>
      <c r="F223" s="122"/>
      <c r="G223" s="122"/>
      <c r="H223" s="122"/>
      <c r="I223" s="118"/>
    </row>
    <row r="224">
      <c r="E224" s="122"/>
      <c r="F224" s="122"/>
      <c r="G224" s="122"/>
      <c r="H224" s="122"/>
      <c r="I224" s="118"/>
    </row>
    <row r="225">
      <c r="E225" s="122"/>
      <c r="F225" s="122"/>
      <c r="G225" s="122"/>
      <c r="H225" s="122"/>
      <c r="I225" s="118"/>
    </row>
    <row r="226">
      <c r="E226" s="122"/>
      <c r="F226" s="122"/>
      <c r="G226" s="122"/>
      <c r="H226" s="122"/>
      <c r="I226" s="118"/>
    </row>
    <row r="227">
      <c r="E227" s="122"/>
      <c r="F227" s="122"/>
      <c r="G227" s="122"/>
      <c r="H227" s="122"/>
      <c r="I227" s="118"/>
    </row>
    <row r="228">
      <c r="E228" s="122"/>
      <c r="F228" s="122"/>
      <c r="G228" s="122"/>
      <c r="H228" s="122"/>
      <c r="I228" s="118"/>
    </row>
    <row r="229">
      <c r="E229" s="122"/>
      <c r="F229" s="122"/>
      <c r="G229" s="122"/>
      <c r="H229" s="122"/>
      <c r="I229" s="118"/>
    </row>
    <row r="230">
      <c r="E230" s="122"/>
      <c r="F230" s="122"/>
      <c r="G230" s="122"/>
      <c r="H230" s="122"/>
      <c r="I230" s="118"/>
    </row>
    <row r="231">
      <c r="E231" s="122"/>
      <c r="F231" s="122"/>
      <c r="G231" s="122"/>
      <c r="H231" s="122"/>
      <c r="I231" s="118"/>
    </row>
    <row r="232">
      <c r="E232" s="122"/>
      <c r="F232" s="122"/>
      <c r="G232" s="122"/>
      <c r="H232" s="122"/>
      <c r="I232" s="118"/>
    </row>
    <row r="233">
      <c r="E233" s="122"/>
      <c r="F233" s="122"/>
      <c r="G233" s="122"/>
      <c r="H233" s="122"/>
      <c r="I233" s="118"/>
    </row>
    <row r="234">
      <c r="E234" s="122"/>
      <c r="F234" s="122"/>
      <c r="G234" s="122"/>
      <c r="H234" s="122"/>
      <c r="I234" s="118"/>
    </row>
    <row r="235">
      <c r="E235" s="122"/>
      <c r="F235" s="122"/>
      <c r="G235" s="122"/>
      <c r="H235" s="122"/>
      <c r="I235" s="118"/>
    </row>
    <row r="236">
      <c r="E236" s="122"/>
      <c r="F236" s="122"/>
      <c r="G236" s="122"/>
      <c r="H236" s="122"/>
      <c r="I236" s="118"/>
    </row>
    <row r="237">
      <c r="E237" s="122"/>
      <c r="F237" s="122"/>
      <c r="G237" s="122"/>
      <c r="H237" s="122"/>
      <c r="I237" s="118"/>
    </row>
    <row r="238">
      <c r="E238" s="122"/>
      <c r="F238" s="122"/>
      <c r="G238" s="122"/>
      <c r="H238" s="122"/>
      <c r="I238" s="118"/>
    </row>
    <row r="239">
      <c r="E239" s="122"/>
      <c r="F239" s="122"/>
      <c r="G239" s="122"/>
      <c r="H239" s="122"/>
      <c r="I239" s="118"/>
    </row>
    <row r="240">
      <c r="E240" s="122"/>
      <c r="F240" s="122"/>
      <c r="G240" s="122"/>
      <c r="H240" s="122"/>
      <c r="I240" s="118"/>
    </row>
    <row r="241">
      <c r="E241" s="122"/>
      <c r="F241" s="122"/>
      <c r="G241" s="122"/>
      <c r="H241" s="122"/>
      <c r="I241" s="118"/>
    </row>
    <row r="242">
      <c r="E242" s="122"/>
      <c r="F242" s="122"/>
      <c r="G242" s="122"/>
      <c r="H242" s="122"/>
      <c r="I242" s="118"/>
    </row>
    <row r="243">
      <c r="E243" s="122"/>
      <c r="F243" s="122"/>
      <c r="G243" s="122"/>
      <c r="H243" s="122"/>
      <c r="I243" s="118"/>
    </row>
    <row r="244">
      <c r="E244" s="122"/>
      <c r="F244" s="122"/>
      <c r="G244" s="122"/>
      <c r="H244" s="122"/>
      <c r="I244" s="118"/>
    </row>
    <row r="245">
      <c r="E245" s="122"/>
      <c r="F245" s="122"/>
      <c r="G245" s="122"/>
      <c r="H245" s="122"/>
      <c r="I245" s="118"/>
    </row>
    <row r="246">
      <c r="E246" s="122"/>
      <c r="F246" s="122"/>
      <c r="G246" s="122"/>
      <c r="H246" s="122"/>
      <c r="I246" s="118"/>
    </row>
    <row r="247">
      <c r="E247" s="122"/>
      <c r="F247" s="122"/>
      <c r="G247" s="122"/>
      <c r="H247" s="122"/>
      <c r="I247" s="118"/>
    </row>
    <row r="248">
      <c r="E248" s="122"/>
      <c r="F248" s="122"/>
      <c r="G248" s="122"/>
      <c r="H248" s="122"/>
      <c r="I248" s="118"/>
    </row>
    <row r="249">
      <c r="E249" s="122"/>
      <c r="F249" s="122"/>
      <c r="G249" s="122"/>
      <c r="H249" s="122"/>
      <c r="I249" s="118"/>
    </row>
    <row r="250">
      <c r="E250" s="122"/>
      <c r="F250" s="122"/>
      <c r="G250" s="122"/>
      <c r="H250" s="122"/>
      <c r="I250" s="118"/>
    </row>
    <row r="251">
      <c r="E251" s="122"/>
      <c r="F251" s="122"/>
      <c r="G251" s="122"/>
      <c r="H251" s="122"/>
      <c r="I251" s="118"/>
    </row>
    <row r="252">
      <c r="E252" s="122"/>
      <c r="F252" s="122"/>
      <c r="G252" s="122"/>
      <c r="H252" s="122"/>
      <c r="I252" s="118"/>
    </row>
    <row r="253">
      <c r="E253" s="122"/>
      <c r="F253" s="122"/>
      <c r="G253" s="122"/>
      <c r="H253" s="122"/>
      <c r="I253" s="118"/>
    </row>
    <row r="254">
      <c r="E254" s="122"/>
      <c r="F254" s="122"/>
      <c r="G254" s="122"/>
      <c r="H254" s="122"/>
      <c r="I254" s="118"/>
    </row>
    <row r="255">
      <c r="E255" s="122"/>
      <c r="F255" s="122"/>
      <c r="G255" s="122"/>
      <c r="H255" s="122"/>
      <c r="I255" s="118"/>
    </row>
    <row r="256">
      <c r="E256" s="122"/>
      <c r="F256" s="122"/>
      <c r="G256" s="122"/>
      <c r="H256" s="122"/>
      <c r="I256" s="118"/>
    </row>
    <row r="257">
      <c r="E257" s="122"/>
      <c r="F257" s="122"/>
      <c r="G257" s="122"/>
      <c r="H257" s="122"/>
      <c r="I257" s="118"/>
    </row>
    <row r="258">
      <c r="E258" s="122"/>
      <c r="F258" s="122"/>
      <c r="G258" s="122"/>
      <c r="H258" s="122"/>
      <c r="I258" s="118"/>
    </row>
    <row r="259">
      <c r="E259" s="122"/>
      <c r="F259" s="122"/>
      <c r="G259" s="122"/>
      <c r="H259" s="122"/>
      <c r="I259" s="118"/>
    </row>
    <row r="260">
      <c r="E260" s="122"/>
      <c r="F260" s="122"/>
      <c r="G260" s="122"/>
      <c r="H260" s="122"/>
      <c r="I260" s="118"/>
    </row>
    <row r="261">
      <c r="E261" s="122"/>
      <c r="F261" s="122"/>
      <c r="G261" s="122"/>
      <c r="H261" s="122"/>
      <c r="I261" s="118"/>
    </row>
    <row r="262">
      <c r="E262" s="122"/>
      <c r="F262" s="122"/>
      <c r="G262" s="122"/>
      <c r="H262" s="122"/>
      <c r="I262" s="118"/>
    </row>
    <row r="263">
      <c r="E263" s="122"/>
      <c r="F263" s="122"/>
      <c r="G263" s="122"/>
      <c r="H263" s="122"/>
      <c r="I263" s="118"/>
    </row>
    <row r="264">
      <c r="E264" s="122"/>
      <c r="F264" s="122"/>
      <c r="G264" s="122"/>
      <c r="H264" s="122"/>
      <c r="I264" s="118"/>
    </row>
    <row r="265">
      <c r="E265" s="122"/>
      <c r="F265" s="122"/>
      <c r="G265" s="122"/>
      <c r="H265" s="122"/>
      <c r="I265" s="118"/>
    </row>
    <row r="266">
      <c r="E266" s="122"/>
      <c r="F266" s="122"/>
      <c r="G266" s="122"/>
      <c r="H266" s="122"/>
      <c r="I266" s="118"/>
    </row>
    <row r="267">
      <c r="E267" s="122"/>
      <c r="F267" s="122"/>
      <c r="G267" s="122"/>
      <c r="H267" s="122"/>
      <c r="I267" s="118"/>
    </row>
    <row r="268">
      <c r="E268" s="122"/>
      <c r="F268" s="122"/>
      <c r="G268" s="122"/>
      <c r="H268" s="122"/>
      <c r="I268" s="118"/>
    </row>
    <row r="269">
      <c r="E269" s="122"/>
      <c r="F269" s="122"/>
      <c r="G269" s="122"/>
      <c r="H269" s="122"/>
      <c r="I269" s="118"/>
    </row>
    <row r="270">
      <c r="E270" s="122"/>
      <c r="F270" s="122"/>
      <c r="G270" s="122"/>
      <c r="H270" s="122"/>
      <c r="I270" s="118"/>
    </row>
    <row r="271">
      <c r="E271" s="122"/>
      <c r="F271" s="122"/>
      <c r="G271" s="122"/>
      <c r="H271" s="122"/>
      <c r="I271" s="118"/>
    </row>
    <row r="272">
      <c r="E272" s="122"/>
      <c r="F272" s="122"/>
      <c r="G272" s="122"/>
      <c r="H272" s="122"/>
      <c r="I272" s="118"/>
    </row>
    <row r="273">
      <c r="E273" s="122"/>
      <c r="F273" s="122"/>
      <c r="G273" s="122"/>
      <c r="H273" s="122"/>
      <c r="I273" s="118"/>
    </row>
    <row r="274">
      <c r="E274" s="122"/>
      <c r="F274" s="122"/>
      <c r="G274" s="122"/>
      <c r="H274" s="122"/>
      <c r="I274" s="118"/>
    </row>
    <row r="275">
      <c r="E275" s="122"/>
      <c r="F275" s="122"/>
      <c r="G275" s="122"/>
      <c r="H275" s="122"/>
      <c r="I275" s="118"/>
    </row>
    <row r="276">
      <c r="E276" s="122"/>
      <c r="F276" s="122"/>
      <c r="G276" s="122"/>
      <c r="H276" s="122"/>
      <c r="I276" s="118"/>
    </row>
    <row r="277">
      <c r="E277" s="122"/>
      <c r="F277" s="122"/>
      <c r="G277" s="122"/>
      <c r="H277" s="122"/>
      <c r="I277" s="118"/>
    </row>
    <row r="278">
      <c r="E278" s="122"/>
      <c r="F278" s="122"/>
      <c r="G278" s="122"/>
      <c r="H278" s="122"/>
      <c r="I278" s="118"/>
    </row>
    <row r="279">
      <c r="E279" s="122"/>
      <c r="F279" s="122"/>
      <c r="G279" s="122"/>
      <c r="H279" s="122"/>
      <c r="I279" s="118"/>
    </row>
    <row r="280">
      <c r="E280" s="122"/>
      <c r="F280" s="122"/>
      <c r="G280" s="122"/>
      <c r="H280" s="122"/>
      <c r="I280" s="118"/>
    </row>
    <row r="281">
      <c r="E281" s="122"/>
      <c r="F281" s="122"/>
      <c r="G281" s="122"/>
      <c r="H281" s="122"/>
      <c r="I281" s="118"/>
    </row>
    <row r="282">
      <c r="E282" s="122"/>
      <c r="F282" s="122"/>
      <c r="G282" s="122"/>
      <c r="H282" s="122"/>
      <c r="I282" s="118"/>
    </row>
    <row r="283">
      <c r="E283" s="122"/>
      <c r="F283" s="122"/>
      <c r="G283" s="122"/>
      <c r="H283" s="122"/>
      <c r="I283" s="118"/>
    </row>
    <row r="284">
      <c r="E284" s="122"/>
      <c r="F284" s="122"/>
      <c r="G284" s="122"/>
      <c r="H284" s="122"/>
      <c r="I284" s="118"/>
    </row>
    <row r="285">
      <c r="E285" s="122"/>
      <c r="F285" s="122"/>
      <c r="G285" s="122"/>
      <c r="H285" s="122"/>
      <c r="I285" s="118"/>
    </row>
    <row r="286">
      <c r="E286" s="122"/>
      <c r="F286" s="122"/>
      <c r="G286" s="122"/>
      <c r="H286" s="122"/>
      <c r="I286" s="118"/>
    </row>
    <row r="287">
      <c r="E287" s="122"/>
      <c r="F287" s="122"/>
      <c r="G287" s="122"/>
      <c r="H287" s="122"/>
      <c r="I287" s="118"/>
    </row>
    <row r="288">
      <c r="E288" s="122"/>
      <c r="F288" s="122"/>
      <c r="G288" s="122"/>
      <c r="H288" s="122"/>
      <c r="I288" s="118"/>
    </row>
    <row r="289">
      <c r="E289" s="122"/>
      <c r="F289" s="122"/>
      <c r="G289" s="122"/>
      <c r="H289" s="122"/>
      <c r="I289" s="118"/>
    </row>
    <row r="290">
      <c r="E290" s="122"/>
      <c r="F290" s="122"/>
      <c r="G290" s="122"/>
      <c r="H290" s="122"/>
      <c r="I290" s="118"/>
    </row>
    <row r="291">
      <c r="E291" s="122"/>
      <c r="F291" s="122"/>
      <c r="G291" s="122"/>
      <c r="H291" s="122"/>
      <c r="I291" s="118"/>
    </row>
    <row r="292">
      <c r="E292" s="122"/>
      <c r="F292" s="122"/>
      <c r="G292" s="122"/>
      <c r="H292" s="122"/>
      <c r="I292" s="118"/>
    </row>
    <row r="293">
      <c r="E293" s="122"/>
      <c r="F293" s="122"/>
      <c r="G293" s="122"/>
      <c r="H293" s="122"/>
      <c r="I293" s="118"/>
    </row>
    <row r="294">
      <c r="E294" s="122"/>
      <c r="F294" s="122"/>
      <c r="G294" s="122"/>
      <c r="H294" s="122"/>
      <c r="I294" s="118"/>
    </row>
    <row r="295">
      <c r="E295" s="122"/>
      <c r="F295" s="122"/>
      <c r="G295" s="122"/>
      <c r="H295" s="122"/>
      <c r="I295" s="118"/>
    </row>
    <row r="296">
      <c r="E296" s="122"/>
      <c r="F296" s="122"/>
      <c r="G296" s="122"/>
      <c r="H296" s="122"/>
      <c r="I296" s="118"/>
    </row>
    <row r="297">
      <c r="E297" s="122"/>
      <c r="F297" s="122"/>
      <c r="G297" s="122"/>
      <c r="H297" s="122"/>
      <c r="I297" s="118"/>
    </row>
    <row r="298">
      <c r="E298" s="122"/>
      <c r="F298" s="122"/>
      <c r="G298" s="122"/>
      <c r="H298" s="122"/>
      <c r="I298" s="118"/>
    </row>
    <row r="299">
      <c r="E299" s="122"/>
      <c r="F299" s="122"/>
      <c r="G299" s="122"/>
      <c r="H299" s="122"/>
      <c r="I299" s="118"/>
    </row>
    <row r="300">
      <c r="E300" s="122"/>
      <c r="F300" s="122"/>
      <c r="G300" s="122"/>
      <c r="H300" s="122"/>
      <c r="I300" s="118"/>
    </row>
    <row r="301">
      <c r="E301" s="122"/>
      <c r="F301" s="122"/>
      <c r="G301" s="122"/>
      <c r="H301" s="122"/>
      <c r="I301" s="118"/>
    </row>
    <row r="302">
      <c r="E302" s="122"/>
      <c r="F302" s="122"/>
      <c r="G302" s="122"/>
      <c r="H302" s="122"/>
      <c r="I302" s="118"/>
    </row>
    <row r="303">
      <c r="E303" s="122"/>
      <c r="F303" s="122"/>
      <c r="G303" s="122"/>
      <c r="H303" s="122"/>
      <c r="I303" s="118"/>
    </row>
    <row r="304">
      <c r="E304" s="122"/>
      <c r="F304" s="122"/>
      <c r="G304" s="122"/>
      <c r="H304" s="122"/>
      <c r="I304" s="118"/>
    </row>
    <row r="305">
      <c r="E305" s="122"/>
      <c r="F305" s="122"/>
      <c r="G305" s="122"/>
      <c r="H305" s="122"/>
      <c r="I305" s="118"/>
    </row>
    <row r="306">
      <c r="E306" s="122"/>
      <c r="F306" s="122"/>
      <c r="G306" s="122"/>
      <c r="H306" s="122"/>
      <c r="I306" s="118"/>
    </row>
    <row r="307">
      <c r="E307" s="122"/>
      <c r="F307" s="122"/>
      <c r="G307" s="122"/>
      <c r="H307" s="122"/>
      <c r="I307" s="118"/>
    </row>
    <row r="308">
      <c r="E308" s="122"/>
      <c r="F308" s="122"/>
      <c r="G308" s="122"/>
      <c r="H308" s="122"/>
      <c r="I308" s="118"/>
    </row>
    <row r="309">
      <c r="E309" s="122"/>
      <c r="F309" s="122"/>
      <c r="G309" s="122"/>
      <c r="H309" s="122"/>
      <c r="I309" s="118"/>
    </row>
    <row r="310">
      <c r="E310" s="122"/>
      <c r="F310" s="122"/>
      <c r="G310" s="122"/>
      <c r="H310" s="122"/>
      <c r="I310" s="118"/>
    </row>
    <row r="311">
      <c r="E311" s="122"/>
      <c r="F311" s="122"/>
      <c r="G311" s="122"/>
      <c r="H311" s="122"/>
      <c r="I311" s="118"/>
    </row>
    <row r="312">
      <c r="E312" s="122"/>
      <c r="F312" s="122"/>
      <c r="G312" s="122"/>
      <c r="H312" s="122"/>
      <c r="I312" s="118"/>
    </row>
    <row r="313">
      <c r="E313" s="122"/>
      <c r="F313" s="122"/>
      <c r="G313" s="122"/>
      <c r="H313" s="122"/>
      <c r="I313" s="118"/>
    </row>
    <row r="314">
      <c r="E314" s="122"/>
      <c r="F314" s="122"/>
      <c r="G314" s="122"/>
      <c r="H314" s="122"/>
      <c r="I314" s="118"/>
    </row>
    <row r="315">
      <c r="E315" s="122"/>
      <c r="F315" s="122"/>
      <c r="G315" s="122"/>
      <c r="H315" s="122"/>
      <c r="I315" s="118"/>
    </row>
    <row r="316">
      <c r="E316" s="122"/>
      <c r="F316" s="122"/>
      <c r="G316" s="122"/>
      <c r="H316" s="122"/>
      <c r="I316" s="118"/>
    </row>
    <row r="317">
      <c r="E317" s="122"/>
      <c r="F317" s="122"/>
      <c r="G317" s="122"/>
      <c r="H317" s="122"/>
      <c r="I317" s="118"/>
    </row>
    <row r="318">
      <c r="E318" s="122"/>
      <c r="F318" s="122"/>
      <c r="G318" s="122"/>
      <c r="H318" s="122"/>
      <c r="I318" s="118"/>
    </row>
    <row r="319">
      <c r="E319" s="122"/>
      <c r="F319" s="122"/>
      <c r="G319" s="122"/>
      <c r="H319" s="122"/>
      <c r="I319" s="118"/>
    </row>
    <row r="320">
      <c r="E320" s="122"/>
      <c r="F320" s="122"/>
      <c r="G320" s="122"/>
      <c r="H320" s="122"/>
      <c r="I320" s="118"/>
    </row>
    <row r="321">
      <c r="E321" s="122"/>
      <c r="F321" s="122"/>
      <c r="G321" s="122"/>
      <c r="H321" s="122"/>
      <c r="I321" s="118"/>
    </row>
    <row r="322">
      <c r="E322" s="122"/>
      <c r="F322" s="122"/>
      <c r="G322" s="122"/>
      <c r="H322" s="122"/>
      <c r="I322" s="118"/>
    </row>
    <row r="323">
      <c r="E323" s="122"/>
      <c r="F323" s="122"/>
      <c r="G323" s="122"/>
      <c r="H323" s="122"/>
      <c r="I323" s="118"/>
    </row>
    <row r="324">
      <c r="E324" s="122"/>
      <c r="F324" s="122"/>
      <c r="G324" s="122"/>
      <c r="H324" s="122"/>
      <c r="I324" s="118"/>
    </row>
    <row r="325">
      <c r="E325" s="122"/>
      <c r="F325" s="122"/>
      <c r="G325" s="122"/>
      <c r="H325" s="122"/>
      <c r="I325" s="118"/>
    </row>
    <row r="326">
      <c r="E326" s="122"/>
      <c r="F326" s="122"/>
      <c r="G326" s="122"/>
      <c r="H326" s="122"/>
      <c r="I326" s="118"/>
    </row>
    <row r="327">
      <c r="E327" s="122"/>
      <c r="F327" s="122"/>
      <c r="G327" s="122"/>
      <c r="H327" s="122"/>
      <c r="I327" s="118"/>
    </row>
    <row r="328">
      <c r="E328" s="122"/>
      <c r="F328" s="122"/>
      <c r="G328" s="122"/>
      <c r="H328" s="122"/>
      <c r="I328" s="118"/>
    </row>
    <row r="329">
      <c r="E329" s="122"/>
      <c r="F329" s="122"/>
      <c r="G329" s="122"/>
      <c r="H329" s="122"/>
      <c r="I329" s="118"/>
    </row>
    <row r="330">
      <c r="E330" s="122"/>
      <c r="F330" s="122"/>
      <c r="G330" s="122"/>
      <c r="H330" s="122"/>
      <c r="I330" s="118"/>
    </row>
    <row r="331">
      <c r="E331" s="122"/>
      <c r="F331" s="122"/>
      <c r="G331" s="122"/>
      <c r="H331" s="122"/>
      <c r="I331" s="118"/>
    </row>
    <row r="332">
      <c r="E332" s="122"/>
      <c r="F332" s="122"/>
      <c r="G332" s="122"/>
      <c r="H332" s="122"/>
      <c r="I332" s="118"/>
    </row>
    <row r="333">
      <c r="E333" s="122"/>
      <c r="F333" s="122"/>
      <c r="G333" s="122"/>
      <c r="H333" s="122"/>
      <c r="I333" s="118"/>
    </row>
    <row r="334">
      <c r="E334" s="122"/>
      <c r="F334" s="122"/>
      <c r="G334" s="122"/>
      <c r="H334" s="122"/>
      <c r="I334" s="118"/>
    </row>
    <row r="335">
      <c r="E335" s="122"/>
      <c r="F335" s="122"/>
      <c r="G335" s="122"/>
      <c r="H335" s="122"/>
      <c r="I335" s="118"/>
    </row>
    <row r="336">
      <c r="E336" s="122"/>
      <c r="F336" s="122"/>
      <c r="G336" s="122"/>
      <c r="H336" s="122"/>
      <c r="I336" s="118"/>
    </row>
    <row r="337">
      <c r="E337" s="122"/>
      <c r="F337" s="122"/>
      <c r="G337" s="122"/>
      <c r="H337" s="122"/>
      <c r="I337" s="118"/>
    </row>
    <row r="338">
      <c r="E338" s="122"/>
      <c r="F338" s="122"/>
      <c r="G338" s="122"/>
      <c r="H338" s="122"/>
      <c r="I338" s="118"/>
    </row>
    <row r="339">
      <c r="E339" s="122"/>
      <c r="F339" s="122"/>
      <c r="G339" s="122"/>
      <c r="H339" s="122"/>
      <c r="I339" s="118"/>
    </row>
    <row r="340">
      <c r="E340" s="122"/>
      <c r="F340" s="122"/>
      <c r="G340" s="122"/>
      <c r="H340" s="122"/>
      <c r="I340" s="118"/>
    </row>
    <row r="341">
      <c r="E341" s="122"/>
      <c r="F341" s="122"/>
      <c r="G341" s="122"/>
      <c r="H341" s="122"/>
      <c r="I341" s="118"/>
    </row>
    <row r="342">
      <c r="E342" s="122"/>
      <c r="F342" s="122"/>
      <c r="G342" s="122"/>
      <c r="H342" s="122"/>
      <c r="I342" s="118"/>
    </row>
    <row r="343">
      <c r="E343" s="122"/>
      <c r="F343" s="122"/>
      <c r="G343" s="122"/>
      <c r="H343" s="122"/>
      <c r="I343" s="118"/>
    </row>
    <row r="344">
      <c r="E344" s="122"/>
      <c r="F344" s="122"/>
      <c r="G344" s="122"/>
      <c r="H344" s="122"/>
      <c r="I344" s="118"/>
    </row>
    <row r="345">
      <c r="E345" s="122"/>
      <c r="F345" s="122"/>
      <c r="G345" s="122"/>
      <c r="H345" s="122"/>
      <c r="I345" s="118"/>
    </row>
    <row r="346">
      <c r="E346" s="122"/>
      <c r="F346" s="122"/>
      <c r="G346" s="122"/>
      <c r="H346" s="122"/>
      <c r="I346" s="118"/>
    </row>
    <row r="347">
      <c r="E347" s="122"/>
      <c r="F347" s="122"/>
      <c r="G347" s="122"/>
      <c r="H347" s="122"/>
      <c r="I347" s="118"/>
    </row>
    <row r="348">
      <c r="E348" s="122"/>
      <c r="F348" s="122"/>
      <c r="G348" s="122"/>
      <c r="H348" s="122"/>
      <c r="I348" s="118"/>
    </row>
    <row r="349">
      <c r="E349" s="122"/>
      <c r="F349" s="122"/>
      <c r="G349" s="122"/>
      <c r="H349" s="122"/>
      <c r="I349" s="118"/>
    </row>
    <row r="350">
      <c r="E350" s="122"/>
      <c r="F350" s="122"/>
      <c r="G350" s="122"/>
      <c r="H350" s="122"/>
      <c r="I350" s="118"/>
    </row>
    <row r="351">
      <c r="E351" s="122"/>
      <c r="F351" s="122"/>
      <c r="G351" s="122"/>
      <c r="H351" s="122"/>
      <c r="I351" s="118"/>
    </row>
    <row r="352">
      <c r="E352" s="122"/>
      <c r="F352" s="122"/>
      <c r="G352" s="122"/>
      <c r="H352" s="122"/>
      <c r="I352" s="118"/>
    </row>
    <row r="353">
      <c r="E353" s="122"/>
      <c r="F353" s="122"/>
      <c r="G353" s="122"/>
      <c r="H353" s="122"/>
      <c r="I353" s="118"/>
    </row>
    <row r="354">
      <c r="E354" s="122"/>
      <c r="F354" s="122"/>
      <c r="G354" s="122"/>
      <c r="H354" s="122"/>
      <c r="I354" s="118"/>
    </row>
    <row r="355">
      <c r="E355" s="122"/>
      <c r="F355" s="122"/>
      <c r="G355" s="122"/>
      <c r="H355" s="122"/>
      <c r="I355" s="118"/>
    </row>
    <row r="356">
      <c r="E356" s="122"/>
      <c r="F356" s="122"/>
      <c r="G356" s="122"/>
      <c r="H356" s="122"/>
      <c r="I356" s="118"/>
    </row>
    <row r="357">
      <c r="E357" s="122"/>
      <c r="F357" s="122"/>
      <c r="G357" s="122"/>
      <c r="H357" s="122"/>
      <c r="I357" s="118"/>
    </row>
    <row r="358">
      <c r="E358" s="122"/>
      <c r="F358" s="122"/>
      <c r="G358" s="122"/>
      <c r="H358" s="122"/>
      <c r="I358" s="118"/>
    </row>
    <row r="359">
      <c r="E359" s="122"/>
      <c r="F359" s="122"/>
      <c r="G359" s="122"/>
      <c r="H359" s="122"/>
      <c r="I359" s="118"/>
    </row>
    <row r="360">
      <c r="E360" s="122"/>
      <c r="F360" s="122"/>
      <c r="G360" s="122"/>
      <c r="H360" s="122"/>
      <c r="I360" s="118"/>
    </row>
    <row r="361">
      <c r="E361" s="122"/>
      <c r="F361" s="122"/>
      <c r="G361" s="122"/>
      <c r="H361" s="122"/>
      <c r="I361" s="118"/>
    </row>
    <row r="362">
      <c r="E362" s="122"/>
      <c r="F362" s="122"/>
      <c r="G362" s="122"/>
      <c r="H362" s="122"/>
      <c r="I362" s="118"/>
    </row>
    <row r="363">
      <c r="E363" s="122"/>
      <c r="F363" s="122"/>
      <c r="G363" s="122"/>
      <c r="H363" s="122"/>
      <c r="I363" s="118"/>
    </row>
    <row r="364">
      <c r="E364" s="122"/>
      <c r="F364" s="122"/>
      <c r="G364" s="122"/>
      <c r="H364" s="122"/>
      <c r="I364" s="118"/>
    </row>
    <row r="365">
      <c r="E365" s="122"/>
      <c r="F365" s="122"/>
      <c r="G365" s="122"/>
      <c r="H365" s="122"/>
      <c r="I365" s="118"/>
    </row>
    <row r="366">
      <c r="E366" s="122"/>
      <c r="F366" s="122"/>
      <c r="G366" s="122"/>
      <c r="H366" s="122"/>
      <c r="I366" s="118"/>
    </row>
    <row r="367">
      <c r="E367" s="122"/>
      <c r="F367" s="122"/>
      <c r="G367" s="122"/>
      <c r="H367" s="122"/>
      <c r="I367" s="118"/>
    </row>
    <row r="368">
      <c r="E368" s="122"/>
      <c r="F368" s="122"/>
      <c r="G368" s="122"/>
      <c r="H368" s="122"/>
      <c r="I368" s="118"/>
    </row>
    <row r="369">
      <c r="E369" s="122"/>
      <c r="F369" s="122"/>
      <c r="G369" s="122"/>
      <c r="H369" s="122"/>
      <c r="I369" s="118"/>
    </row>
    <row r="370">
      <c r="E370" s="122"/>
      <c r="F370" s="122"/>
      <c r="G370" s="122"/>
      <c r="H370" s="122"/>
      <c r="I370" s="118"/>
    </row>
    <row r="371">
      <c r="E371" s="122"/>
      <c r="F371" s="122"/>
      <c r="G371" s="122"/>
      <c r="H371" s="122"/>
      <c r="I371" s="118"/>
    </row>
    <row r="372">
      <c r="E372" s="122"/>
      <c r="F372" s="122"/>
      <c r="G372" s="122"/>
      <c r="H372" s="122"/>
      <c r="I372" s="118"/>
    </row>
    <row r="373">
      <c r="E373" s="122"/>
      <c r="F373" s="122"/>
      <c r="G373" s="122"/>
      <c r="H373" s="122"/>
      <c r="I373" s="118"/>
    </row>
    <row r="374">
      <c r="E374" s="122"/>
      <c r="F374" s="122"/>
      <c r="G374" s="122"/>
      <c r="H374" s="122"/>
      <c r="I374" s="118"/>
    </row>
    <row r="375">
      <c r="E375" s="122"/>
      <c r="F375" s="122"/>
      <c r="G375" s="122"/>
      <c r="H375" s="122"/>
      <c r="I375" s="118"/>
    </row>
    <row r="376">
      <c r="E376" s="122"/>
      <c r="F376" s="122"/>
      <c r="G376" s="122"/>
      <c r="H376" s="122"/>
      <c r="I376" s="118"/>
    </row>
    <row r="377">
      <c r="E377" s="122"/>
      <c r="F377" s="122"/>
      <c r="G377" s="122"/>
      <c r="H377" s="122"/>
      <c r="I377" s="118"/>
    </row>
    <row r="378">
      <c r="E378" s="122"/>
      <c r="F378" s="122"/>
      <c r="G378" s="122"/>
      <c r="H378" s="122"/>
      <c r="I378" s="118"/>
    </row>
    <row r="379">
      <c r="E379" s="122"/>
      <c r="F379" s="122"/>
      <c r="G379" s="122"/>
      <c r="H379" s="122"/>
      <c r="I379" s="118"/>
    </row>
    <row r="380">
      <c r="E380" s="122"/>
      <c r="F380" s="122"/>
      <c r="G380" s="122"/>
      <c r="H380" s="122"/>
      <c r="I380" s="118"/>
    </row>
    <row r="381">
      <c r="E381" s="122"/>
      <c r="F381" s="122"/>
      <c r="G381" s="122"/>
      <c r="H381" s="122"/>
      <c r="I381" s="118"/>
    </row>
    <row r="382">
      <c r="E382" s="122"/>
      <c r="F382" s="122"/>
      <c r="G382" s="122"/>
      <c r="H382" s="122"/>
      <c r="I382" s="118"/>
    </row>
    <row r="383">
      <c r="E383" s="122"/>
      <c r="F383" s="122"/>
      <c r="G383" s="122"/>
      <c r="H383" s="122"/>
      <c r="I383" s="118"/>
    </row>
    <row r="384">
      <c r="E384" s="122"/>
      <c r="F384" s="122"/>
      <c r="G384" s="122"/>
      <c r="H384" s="122"/>
      <c r="I384" s="118"/>
    </row>
    <row r="385">
      <c r="E385" s="122"/>
      <c r="F385" s="122"/>
      <c r="G385" s="122"/>
      <c r="H385" s="122"/>
      <c r="I385" s="118"/>
    </row>
    <row r="386">
      <c r="E386" s="122"/>
      <c r="F386" s="122"/>
      <c r="G386" s="122"/>
      <c r="H386" s="122"/>
      <c r="I386" s="118"/>
    </row>
    <row r="387">
      <c r="E387" s="122"/>
      <c r="F387" s="122"/>
      <c r="G387" s="122"/>
      <c r="H387" s="122"/>
      <c r="I387" s="118"/>
    </row>
    <row r="388">
      <c r="E388" s="122"/>
      <c r="F388" s="122"/>
      <c r="G388" s="122"/>
      <c r="H388" s="122"/>
      <c r="I388" s="118"/>
    </row>
    <row r="389">
      <c r="E389" s="122"/>
      <c r="F389" s="122"/>
      <c r="G389" s="122"/>
      <c r="H389" s="122"/>
      <c r="I389" s="118"/>
    </row>
    <row r="390">
      <c r="E390" s="122"/>
      <c r="F390" s="122"/>
      <c r="G390" s="122"/>
      <c r="H390" s="122"/>
      <c r="I390" s="118"/>
    </row>
    <row r="391">
      <c r="E391" s="122"/>
      <c r="F391" s="122"/>
      <c r="G391" s="122"/>
      <c r="H391" s="122"/>
      <c r="I391" s="118"/>
    </row>
    <row r="392">
      <c r="E392" s="122"/>
      <c r="F392" s="122"/>
      <c r="G392" s="122"/>
      <c r="H392" s="122"/>
      <c r="I392" s="118"/>
    </row>
    <row r="393">
      <c r="E393" s="122"/>
      <c r="F393" s="122"/>
      <c r="G393" s="122"/>
      <c r="H393" s="122"/>
      <c r="I393" s="118"/>
    </row>
    <row r="394">
      <c r="E394" s="122"/>
      <c r="F394" s="122"/>
      <c r="G394" s="122"/>
      <c r="H394" s="122"/>
      <c r="I394" s="118"/>
    </row>
    <row r="395">
      <c r="E395" s="122"/>
      <c r="F395" s="122"/>
      <c r="G395" s="122"/>
      <c r="H395" s="122"/>
      <c r="I395" s="118"/>
    </row>
    <row r="396">
      <c r="E396" s="122"/>
      <c r="F396" s="122"/>
      <c r="G396" s="122"/>
      <c r="H396" s="122"/>
      <c r="I396" s="118"/>
    </row>
    <row r="397">
      <c r="E397" s="122"/>
      <c r="F397" s="122"/>
      <c r="G397" s="122"/>
      <c r="H397" s="122"/>
      <c r="I397" s="118"/>
    </row>
    <row r="398">
      <c r="E398" s="122"/>
      <c r="F398" s="122"/>
      <c r="G398" s="122"/>
      <c r="H398" s="122"/>
      <c r="I398" s="118"/>
    </row>
    <row r="399">
      <c r="E399" s="122"/>
      <c r="F399" s="122"/>
      <c r="G399" s="122"/>
      <c r="H399" s="122"/>
      <c r="I399" s="118"/>
    </row>
    <row r="400">
      <c r="E400" s="122"/>
      <c r="F400" s="122"/>
      <c r="G400" s="122"/>
      <c r="H400" s="122"/>
      <c r="I400" s="118"/>
    </row>
    <row r="401">
      <c r="E401" s="122"/>
      <c r="F401" s="122"/>
      <c r="G401" s="122"/>
      <c r="H401" s="122"/>
      <c r="I401" s="118"/>
    </row>
    <row r="402">
      <c r="E402" s="122"/>
      <c r="F402" s="122"/>
      <c r="G402" s="122"/>
      <c r="H402" s="122"/>
      <c r="I402" s="118"/>
    </row>
    <row r="403">
      <c r="E403" s="122"/>
      <c r="F403" s="122"/>
      <c r="G403" s="122"/>
      <c r="H403" s="122"/>
      <c r="I403" s="118"/>
    </row>
    <row r="404">
      <c r="E404" s="122"/>
      <c r="F404" s="122"/>
      <c r="G404" s="122"/>
      <c r="H404" s="122"/>
      <c r="I404" s="118"/>
    </row>
    <row r="405">
      <c r="E405" s="122"/>
      <c r="F405" s="122"/>
      <c r="G405" s="122"/>
      <c r="H405" s="122"/>
      <c r="I405" s="118"/>
    </row>
    <row r="406">
      <c r="E406" s="122"/>
      <c r="F406" s="122"/>
      <c r="G406" s="122"/>
      <c r="H406" s="122"/>
      <c r="I406" s="118"/>
    </row>
    <row r="407">
      <c r="E407" s="122"/>
      <c r="F407" s="122"/>
      <c r="G407" s="122"/>
      <c r="H407" s="122"/>
      <c r="I407" s="118"/>
    </row>
    <row r="408">
      <c r="E408" s="122"/>
      <c r="F408" s="122"/>
      <c r="G408" s="122"/>
      <c r="H408" s="122"/>
      <c r="I408" s="118"/>
    </row>
    <row r="409">
      <c r="E409" s="122"/>
      <c r="F409" s="122"/>
      <c r="G409" s="122"/>
      <c r="H409" s="122"/>
      <c r="I409" s="118"/>
    </row>
    <row r="410">
      <c r="E410" s="122"/>
      <c r="F410" s="122"/>
      <c r="G410" s="122"/>
      <c r="H410" s="122"/>
      <c r="I410" s="118"/>
    </row>
    <row r="411">
      <c r="E411" s="122"/>
      <c r="F411" s="122"/>
      <c r="G411" s="122"/>
      <c r="H411" s="122"/>
      <c r="I411" s="118"/>
    </row>
    <row r="412">
      <c r="E412" s="122"/>
      <c r="F412" s="122"/>
      <c r="G412" s="122"/>
      <c r="H412" s="122"/>
      <c r="I412" s="118"/>
    </row>
    <row r="413">
      <c r="E413" s="122"/>
      <c r="F413" s="122"/>
      <c r="G413" s="122"/>
      <c r="H413" s="122"/>
      <c r="I413" s="118"/>
    </row>
    <row r="414">
      <c r="E414" s="122"/>
      <c r="F414" s="122"/>
      <c r="G414" s="122"/>
      <c r="H414" s="122"/>
      <c r="I414" s="118"/>
    </row>
    <row r="415">
      <c r="E415" s="122"/>
      <c r="F415" s="122"/>
      <c r="G415" s="122"/>
      <c r="H415" s="122"/>
      <c r="I415" s="118"/>
    </row>
    <row r="416">
      <c r="E416" s="122"/>
      <c r="F416" s="122"/>
      <c r="G416" s="122"/>
      <c r="H416" s="122"/>
      <c r="I416" s="118"/>
    </row>
    <row r="417">
      <c r="E417" s="122"/>
      <c r="F417" s="122"/>
      <c r="G417" s="122"/>
      <c r="H417" s="122"/>
      <c r="I417" s="118"/>
    </row>
    <row r="418">
      <c r="E418" s="122"/>
      <c r="F418" s="122"/>
      <c r="G418" s="122"/>
      <c r="H418" s="122"/>
      <c r="I418" s="118"/>
    </row>
    <row r="419">
      <c r="E419" s="122"/>
      <c r="F419" s="122"/>
      <c r="G419" s="122"/>
      <c r="H419" s="122"/>
      <c r="I419" s="118"/>
    </row>
    <row r="420">
      <c r="E420" s="122"/>
      <c r="F420" s="122"/>
      <c r="G420" s="122"/>
      <c r="H420" s="122"/>
      <c r="I420" s="118"/>
    </row>
    <row r="421">
      <c r="E421" s="122"/>
      <c r="F421" s="122"/>
      <c r="G421" s="122"/>
      <c r="H421" s="122"/>
      <c r="I421" s="118"/>
    </row>
    <row r="422">
      <c r="E422" s="122"/>
      <c r="F422" s="122"/>
      <c r="G422" s="122"/>
      <c r="H422" s="122"/>
      <c r="I422" s="118"/>
    </row>
    <row r="423">
      <c r="E423" s="122"/>
      <c r="F423" s="122"/>
      <c r="G423" s="122"/>
      <c r="H423" s="122"/>
      <c r="I423" s="118"/>
    </row>
    <row r="424">
      <c r="E424" s="122"/>
      <c r="F424" s="122"/>
      <c r="G424" s="122"/>
      <c r="H424" s="122"/>
      <c r="I424" s="118"/>
    </row>
    <row r="425">
      <c r="E425" s="122"/>
      <c r="F425" s="122"/>
      <c r="G425" s="122"/>
      <c r="H425" s="122"/>
      <c r="I425" s="118"/>
    </row>
    <row r="426">
      <c r="E426" s="122"/>
      <c r="F426" s="122"/>
      <c r="G426" s="122"/>
      <c r="H426" s="122"/>
      <c r="I426" s="118"/>
    </row>
    <row r="427">
      <c r="E427" s="122"/>
      <c r="F427" s="122"/>
      <c r="G427" s="122"/>
      <c r="H427" s="122"/>
      <c r="I427" s="118"/>
    </row>
    <row r="428">
      <c r="E428" s="122"/>
      <c r="F428" s="122"/>
      <c r="G428" s="122"/>
      <c r="H428" s="122"/>
      <c r="I428" s="118"/>
    </row>
    <row r="429">
      <c r="E429" s="122"/>
      <c r="F429" s="122"/>
      <c r="G429" s="122"/>
      <c r="H429" s="122"/>
      <c r="I429" s="118"/>
    </row>
    <row r="430">
      <c r="E430" s="122"/>
      <c r="F430" s="122"/>
      <c r="G430" s="122"/>
      <c r="H430" s="122"/>
      <c r="I430" s="118"/>
    </row>
    <row r="431">
      <c r="E431" s="122"/>
      <c r="F431" s="122"/>
      <c r="G431" s="122"/>
      <c r="H431" s="122"/>
      <c r="I431" s="118"/>
    </row>
    <row r="432">
      <c r="E432" s="122"/>
      <c r="F432" s="122"/>
      <c r="G432" s="122"/>
      <c r="H432" s="122"/>
      <c r="I432" s="118"/>
    </row>
    <row r="433">
      <c r="E433" s="122"/>
      <c r="F433" s="122"/>
      <c r="G433" s="122"/>
      <c r="H433" s="122"/>
      <c r="I433" s="118"/>
    </row>
    <row r="434">
      <c r="E434" s="122"/>
      <c r="F434" s="122"/>
      <c r="G434" s="122"/>
      <c r="H434" s="122"/>
      <c r="I434" s="118"/>
    </row>
    <row r="435">
      <c r="E435" s="122"/>
      <c r="F435" s="122"/>
      <c r="G435" s="122"/>
      <c r="H435" s="122"/>
      <c r="I435" s="118"/>
    </row>
    <row r="436">
      <c r="E436" s="122"/>
      <c r="F436" s="122"/>
      <c r="G436" s="122"/>
      <c r="H436" s="122"/>
      <c r="I436" s="118"/>
    </row>
    <row r="437">
      <c r="E437" s="122"/>
      <c r="F437" s="122"/>
      <c r="G437" s="122"/>
      <c r="H437" s="122"/>
      <c r="I437" s="118"/>
    </row>
    <row r="438">
      <c r="E438" s="122"/>
      <c r="F438" s="122"/>
      <c r="G438" s="122"/>
      <c r="H438" s="122"/>
      <c r="I438" s="118"/>
    </row>
    <row r="439">
      <c r="E439" s="122"/>
      <c r="F439" s="122"/>
      <c r="G439" s="122"/>
      <c r="H439" s="122"/>
      <c r="I439" s="118"/>
    </row>
    <row r="440">
      <c r="E440" s="122"/>
      <c r="F440" s="122"/>
      <c r="G440" s="122"/>
      <c r="H440" s="122"/>
      <c r="I440" s="118"/>
    </row>
    <row r="441">
      <c r="E441" s="122"/>
      <c r="F441" s="122"/>
      <c r="G441" s="122"/>
      <c r="H441" s="122"/>
      <c r="I441" s="118"/>
    </row>
    <row r="442">
      <c r="E442" s="122"/>
      <c r="F442" s="122"/>
      <c r="G442" s="122"/>
      <c r="H442" s="122"/>
      <c r="I442" s="118"/>
    </row>
    <row r="443">
      <c r="E443" s="122"/>
      <c r="F443" s="122"/>
      <c r="G443" s="122"/>
      <c r="H443" s="122"/>
      <c r="I443" s="118"/>
    </row>
    <row r="444">
      <c r="E444" s="122"/>
      <c r="F444" s="122"/>
      <c r="G444" s="122"/>
      <c r="H444" s="122"/>
      <c r="I444" s="118"/>
    </row>
    <row r="445">
      <c r="E445" s="122"/>
      <c r="F445" s="122"/>
      <c r="G445" s="122"/>
      <c r="H445" s="122"/>
      <c r="I445" s="118"/>
    </row>
    <row r="446">
      <c r="E446" s="122"/>
      <c r="F446" s="122"/>
      <c r="G446" s="122"/>
      <c r="H446" s="122"/>
      <c r="I446" s="118"/>
    </row>
    <row r="447">
      <c r="E447" s="122"/>
      <c r="F447" s="122"/>
      <c r="G447" s="122"/>
      <c r="H447" s="122"/>
      <c r="I447" s="118"/>
    </row>
    <row r="448">
      <c r="E448" s="122"/>
      <c r="F448" s="122"/>
      <c r="G448" s="122"/>
      <c r="H448" s="122"/>
      <c r="I448" s="118"/>
    </row>
    <row r="449">
      <c r="E449" s="122"/>
      <c r="F449" s="122"/>
      <c r="G449" s="122"/>
      <c r="H449" s="122"/>
      <c r="I449" s="118"/>
    </row>
    <row r="450">
      <c r="E450" s="122"/>
      <c r="F450" s="122"/>
      <c r="G450" s="122"/>
      <c r="H450" s="122"/>
      <c r="I450" s="118"/>
    </row>
    <row r="451">
      <c r="E451" s="122"/>
      <c r="F451" s="122"/>
      <c r="G451" s="122"/>
      <c r="H451" s="122"/>
      <c r="I451" s="118"/>
    </row>
    <row r="452">
      <c r="E452" s="122"/>
      <c r="F452" s="122"/>
      <c r="G452" s="122"/>
      <c r="H452" s="122"/>
      <c r="I452" s="118"/>
    </row>
    <row r="453">
      <c r="E453" s="122"/>
      <c r="F453" s="122"/>
      <c r="G453" s="122"/>
      <c r="H453" s="122"/>
      <c r="I453" s="118"/>
    </row>
    <row r="454">
      <c r="E454" s="122"/>
      <c r="F454" s="122"/>
      <c r="G454" s="122"/>
      <c r="H454" s="122"/>
      <c r="I454" s="118"/>
    </row>
    <row r="455">
      <c r="E455" s="122"/>
      <c r="F455" s="122"/>
      <c r="G455" s="122"/>
      <c r="H455" s="122"/>
      <c r="I455" s="118"/>
    </row>
    <row r="456">
      <c r="E456" s="122"/>
      <c r="F456" s="122"/>
      <c r="G456" s="122"/>
      <c r="H456" s="122"/>
      <c r="I456" s="118"/>
    </row>
    <row r="457">
      <c r="E457" s="122"/>
      <c r="F457" s="122"/>
      <c r="G457" s="122"/>
      <c r="H457" s="122"/>
      <c r="I457" s="118"/>
    </row>
    <row r="458">
      <c r="E458" s="122"/>
      <c r="F458" s="122"/>
      <c r="G458" s="122"/>
      <c r="H458" s="122"/>
      <c r="I458" s="118"/>
    </row>
    <row r="459">
      <c r="E459" s="122"/>
      <c r="F459" s="122"/>
      <c r="G459" s="122"/>
      <c r="H459" s="122"/>
      <c r="I459" s="118"/>
    </row>
    <row r="460">
      <c r="E460" s="122"/>
      <c r="F460" s="122"/>
      <c r="G460" s="122"/>
      <c r="H460" s="122"/>
      <c r="I460" s="118"/>
    </row>
    <row r="461">
      <c r="E461" s="122"/>
      <c r="F461" s="122"/>
      <c r="G461" s="122"/>
      <c r="H461" s="122"/>
      <c r="I461" s="118"/>
    </row>
    <row r="462">
      <c r="E462" s="122"/>
      <c r="F462" s="122"/>
      <c r="G462" s="122"/>
      <c r="H462" s="122"/>
      <c r="I462" s="118"/>
    </row>
    <row r="463">
      <c r="E463" s="122"/>
      <c r="F463" s="122"/>
      <c r="G463" s="122"/>
      <c r="H463" s="122"/>
      <c r="I463" s="118"/>
    </row>
    <row r="464">
      <c r="E464" s="122"/>
      <c r="F464" s="122"/>
      <c r="G464" s="122"/>
      <c r="H464" s="122"/>
      <c r="I464" s="118"/>
    </row>
    <row r="465">
      <c r="E465" s="122"/>
      <c r="F465" s="122"/>
      <c r="G465" s="122"/>
      <c r="H465" s="122"/>
      <c r="I465" s="118"/>
    </row>
    <row r="466">
      <c r="E466" s="122"/>
      <c r="F466" s="122"/>
      <c r="G466" s="122"/>
      <c r="H466" s="122"/>
      <c r="I466" s="118"/>
    </row>
    <row r="467">
      <c r="E467" s="122"/>
      <c r="F467" s="122"/>
      <c r="G467" s="122"/>
      <c r="H467" s="122"/>
      <c r="I467" s="118"/>
    </row>
    <row r="468">
      <c r="E468" s="122"/>
      <c r="F468" s="122"/>
      <c r="G468" s="122"/>
      <c r="H468" s="122"/>
      <c r="I468" s="118"/>
    </row>
    <row r="469">
      <c r="E469" s="122"/>
      <c r="F469" s="122"/>
      <c r="G469" s="122"/>
      <c r="H469" s="122"/>
      <c r="I469" s="118"/>
    </row>
    <row r="470">
      <c r="E470" s="122"/>
      <c r="F470" s="122"/>
      <c r="G470" s="122"/>
      <c r="H470" s="122"/>
      <c r="I470" s="118"/>
    </row>
    <row r="471">
      <c r="E471" s="122"/>
      <c r="F471" s="122"/>
      <c r="G471" s="122"/>
      <c r="H471" s="122"/>
      <c r="I471" s="118"/>
    </row>
    <row r="472">
      <c r="E472" s="122"/>
      <c r="F472" s="122"/>
      <c r="G472" s="122"/>
      <c r="H472" s="122"/>
      <c r="I472" s="118"/>
    </row>
    <row r="473">
      <c r="E473" s="122"/>
      <c r="F473" s="122"/>
      <c r="G473" s="122"/>
      <c r="H473" s="122"/>
      <c r="I473" s="118"/>
    </row>
    <row r="474">
      <c r="E474" s="122"/>
      <c r="F474" s="122"/>
      <c r="G474" s="122"/>
      <c r="H474" s="122"/>
      <c r="I474" s="118"/>
    </row>
    <row r="475">
      <c r="E475" s="122"/>
      <c r="F475" s="122"/>
      <c r="G475" s="122"/>
      <c r="H475" s="122"/>
      <c r="I475" s="118"/>
    </row>
    <row r="476">
      <c r="E476" s="122"/>
      <c r="F476" s="122"/>
      <c r="G476" s="122"/>
      <c r="H476" s="122"/>
      <c r="I476" s="118"/>
    </row>
    <row r="477">
      <c r="E477" s="122"/>
      <c r="F477" s="122"/>
      <c r="G477" s="122"/>
      <c r="H477" s="122"/>
      <c r="I477" s="118"/>
    </row>
    <row r="478">
      <c r="E478" s="122"/>
      <c r="F478" s="122"/>
      <c r="G478" s="122"/>
      <c r="H478" s="122"/>
      <c r="I478" s="118"/>
    </row>
    <row r="479">
      <c r="E479" s="122"/>
      <c r="F479" s="122"/>
      <c r="G479" s="122"/>
      <c r="H479" s="122"/>
      <c r="I479" s="118"/>
    </row>
    <row r="480">
      <c r="E480" s="122"/>
      <c r="F480" s="122"/>
      <c r="G480" s="122"/>
      <c r="H480" s="122"/>
      <c r="I480" s="118"/>
    </row>
    <row r="481">
      <c r="E481" s="122"/>
      <c r="F481" s="122"/>
      <c r="G481" s="122"/>
      <c r="H481" s="122"/>
      <c r="I481" s="118"/>
    </row>
    <row r="482">
      <c r="E482" s="122"/>
      <c r="F482" s="122"/>
      <c r="G482" s="122"/>
      <c r="H482" s="122"/>
      <c r="I482" s="118"/>
    </row>
    <row r="483">
      <c r="E483" s="122"/>
      <c r="F483" s="122"/>
      <c r="G483" s="122"/>
      <c r="H483" s="122"/>
      <c r="I483" s="118"/>
    </row>
    <row r="484">
      <c r="E484" s="122"/>
      <c r="F484" s="122"/>
      <c r="G484" s="122"/>
      <c r="H484" s="122"/>
      <c r="I484" s="118"/>
    </row>
    <row r="485">
      <c r="E485" s="122"/>
      <c r="F485" s="122"/>
      <c r="G485" s="122"/>
      <c r="H485" s="122"/>
      <c r="I485" s="118"/>
    </row>
    <row r="486">
      <c r="E486" s="122"/>
      <c r="F486" s="122"/>
      <c r="G486" s="122"/>
      <c r="H486" s="122"/>
      <c r="I486" s="118"/>
    </row>
    <row r="487">
      <c r="E487" s="122"/>
      <c r="F487" s="122"/>
      <c r="G487" s="122"/>
      <c r="H487" s="122"/>
      <c r="I487" s="118"/>
    </row>
    <row r="488">
      <c r="E488" s="122"/>
      <c r="F488" s="122"/>
      <c r="G488" s="122"/>
      <c r="H488" s="122"/>
      <c r="I488" s="118"/>
    </row>
    <row r="489">
      <c r="E489" s="122"/>
      <c r="F489" s="122"/>
      <c r="G489" s="122"/>
      <c r="H489" s="122"/>
      <c r="I489" s="118"/>
    </row>
    <row r="490">
      <c r="E490" s="122"/>
      <c r="F490" s="122"/>
      <c r="G490" s="122"/>
      <c r="H490" s="122"/>
      <c r="I490" s="118"/>
    </row>
    <row r="491">
      <c r="E491" s="122"/>
      <c r="F491" s="122"/>
      <c r="G491" s="122"/>
      <c r="H491" s="122"/>
      <c r="I491" s="118"/>
    </row>
    <row r="492">
      <c r="E492" s="122"/>
      <c r="F492" s="122"/>
      <c r="G492" s="122"/>
      <c r="H492" s="122"/>
      <c r="I492" s="118"/>
    </row>
    <row r="493">
      <c r="E493" s="122"/>
      <c r="F493" s="122"/>
      <c r="G493" s="122"/>
      <c r="H493" s="122"/>
      <c r="I493" s="118"/>
    </row>
    <row r="494">
      <c r="E494" s="122"/>
      <c r="F494" s="122"/>
      <c r="G494" s="122"/>
      <c r="H494" s="122"/>
      <c r="I494" s="118"/>
    </row>
    <row r="495">
      <c r="E495" s="122"/>
      <c r="F495" s="122"/>
      <c r="G495" s="122"/>
      <c r="H495" s="122"/>
      <c r="I495" s="118"/>
    </row>
    <row r="496">
      <c r="E496" s="122"/>
      <c r="F496" s="122"/>
      <c r="G496" s="122"/>
      <c r="H496" s="122"/>
      <c r="I496" s="118"/>
    </row>
    <row r="497">
      <c r="E497" s="122"/>
      <c r="F497" s="122"/>
      <c r="G497" s="122"/>
      <c r="H497" s="122"/>
      <c r="I497" s="118"/>
    </row>
    <row r="498">
      <c r="E498" s="122"/>
      <c r="F498" s="122"/>
      <c r="G498" s="122"/>
      <c r="H498" s="122"/>
      <c r="I498" s="118"/>
    </row>
    <row r="499">
      <c r="E499" s="122"/>
      <c r="F499" s="122"/>
      <c r="G499" s="122"/>
      <c r="H499" s="122"/>
      <c r="I499" s="118"/>
    </row>
    <row r="500">
      <c r="E500" s="122"/>
      <c r="F500" s="122"/>
      <c r="G500" s="122"/>
      <c r="H500" s="122"/>
      <c r="I500" s="118"/>
    </row>
    <row r="501">
      <c r="E501" s="122"/>
      <c r="F501" s="122"/>
      <c r="G501" s="122"/>
      <c r="H501" s="122"/>
      <c r="I501" s="118"/>
    </row>
    <row r="502">
      <c r="E502" s="122"/>
      <c r="F502" s="122"/>
      <c r="G502" s="122"/>
      <c r="H502" s="122"/>
      <c r="I502" s="118"/>
    </row>
    <row r="503">
      <c r="E503" s="122"/>
      <c r="F503" s="122"/>
      <c r="G503" s="122"/>
      <c r="H503" s="122"/>
      <c r="I503" s="118"/>
    </row>
    <row r="504">
      <c r="E504" s="122"/>
      <c r="F504" s="122"/>
      <c r="G504" s="122"/>
      <c r="H504" s="122"/>
      <c r="I504" s="118"/>
    </row>
    <row r="505">
      <c r="E505" s="122"/>
      <c r="F505" s="122"/>
      <c r="G505" s="122"/>
      <c r="H505" s="122"/>
      <c r="I505" s="118"/>
    </row>
    <row r="506">
      <c r="E506" s="122"/>
      <c r="F506" s="122"/>
      <c r="G506" s="122"/>
      <c r="H506" s="122"/>
      <c r="I506" s="118"/>
    </row>
    <row r="507">
      <c r="E507" s="122"/>
      <c r="F507" s="122"/>
      <c r="G507" s="122"/>
      <c r="H507" s="122"/>
      <c r="I507" s="118"/>
    </row>
    <row r="508">
      <c r="E508" s="122"/>
      <c r="F508" s="122"/>
      <c r="G508" s="122"/>
      <c r="H508" s="122"/>
      <c r="I508" s="118"/>
    </row>
    <row r="509">
      <c r="E509" s="122"/>
      <c r="F509" s="122"/>
      <c r="G509" s="122"/>
      <c r="H509" s="122"/>
      <c r="I509" s="118"/>
    </row>
    <row r="510">
      <c r="E510" s="122"/>
      <c r="F510" s="122"/>
      <c r="G510" s="122"/>
      <c r="H510" s="122"/>
      <c r="I510" s="118"/>
    </row>
    <row r="511">
      <c r="E511" s="122"/>
      <c r="F511" s="122"/>
      <c r="G511" s="122"/>
      <c r="H511" s="122"/>
      <c r="I511" s="118"/>
    </row>
    <row r="512">
      <c r="E512" s="122"/>
      <c r="F512" s="122"/>
      <c r="G512" s="122"/>
      <c r="H512" s="122"/>
      <c r="I512" s="118"/>
    </row>
    <row r="513">
      <c r="E513" s="122"/>
      <c r="F513" s="122"/>
      <c r="G513" s="122"/>
      <c r="H513" s="122"/>
      <c r="I513" s="118"/>
    </row>
    <row r="514">
      <c r="E514" s="122"/>
      <c r="F514" s="122"/>
      <c r="G514" s="122"/>
      <c r="H514" s="122"/>
      <c r="I514" s="118"/>
    </row>
    <row r="515">
      <c r="E515" s="122"/>
      <c r="F515" s="122"/>
      <c r="G515" s="122"/>
      <c r="H515" s="122"/>
      <c r="I515" s="118"/>
    </row>
    <row r="516">
      <c r="E516" s="122"/>
      <c r="F516" s="122"/>
      <c r="G516" s="122"/>
      <c r="H516" s="122"/>
      <c r="I516" s="118"/>
    </row>
    <row r="517">
      <c r="E517" s="122"/>
      <c r="F517" s="122"/>
      <c r="G517" s="122"/>
      <c r="H517" s="122"/>
      <c r="I517" s="118"/>
    </row>
    <row r="518">
      <c r="E518" s="122"/>
      <c r="F518" s="122"/>
      <c r="G518" s="122"/>
      <c r="H518" s="122"/>
      <c r="I518" s="118"/>
    </row>
    <row r="519">
      <c r="E519" s="122"/>
      <c r="F519" s="122"/>
      <c r="G519" s="122"/>
      <c r="H519" s="122"/>
      <c r="I519" s="118"/>
    </row>
    <row r="520">
      <c r="E520" s="122"/>
      <c r="F520" s="122"/>
      <c r="G520" s="122"/>
      <c r="H520" s="122"/>
      <c r="I520" s="118"/>
    </row>
    <row r="521">
      <c r="E521" s="122"/>
      <c r="F521" s="122"/>
      <c r="G521" s="122"/>
      <c r="H521" s="122"/>
      <c r="I521" s="118"/>
    </row>
    <row r="522">
      <c r="E522" s="122"/>
      <c r="F522" s="122"/>
      <c r="G522" s="122"/>
      <c r="H522" s="122"/>
      <c r="I522" s="118"/>
    </row>
    <row r="523">
      <c r="E523" s="122"/>
      <c r="F523" s="122"/>
      <c r="G523" s="122"/>
      <c r="H523" s="122"/>
      <c r="I523" s="118"/>
    </row>
    <row r="524">
      <c r="E524" s="122"/>
      <c r="F524" s="122"/>
      <c r="G524" s="122"/>
      <c r="H524" s="122"/>
      <c r="I524" s="118"/>
    </row>
    <row r="525">
      <c r="E525" s="122"/>
      <c r="F525" s="122"/>
      <c r="G525" s="122"/>
      <c r="H525" s="122"/>
      <c r="I525" s="118"/>
    </row>
    <row r="526">
      <c r="E526" s="122"/>
      <c r="F526" s="122"/>
      <c r="G526" s="122"/>
      <c r="H526" s="122"/>
      <c r="I526" s="118"/>
    </row>
    <row r="527">
      <c r="E527" s="122"/>
      <c r="F527" s="122"/>
      <c r="G527" s="122"/>
      <c r="H527" s="122"/>
      <c r="I527" s="118"/>
    </row>
    <row r="528">
      <c r="E528" s="122"/>
      <c r="F528" s="122"/>
      <c r="G528" s="122"/>
      <c r="H528" s="122"/>
      <c r="I528" s="118"/>
    </row>
    <row r="529">
      <c r="E529" s="122"/>
      <c r="F529" s="122"/>
      <c r="G529" s="122"/>
      <c r="H529" s="122"/>
      <c r="I529" s="118"/>
    </row>
    <row r="530">
      <c r="E530" s="122"/>
      <c r="F530" s="122"/>
      <c r="G530" s="122"/>
      <c r="H530" s="122"/>
      <c r="I530" s="118"/>
    </row>
    <row r="531">
      <c r="E531" s="122"/>
      <c r="F531" s="122"/>
      <c r="G531" s="122"/>
      <c r="H531" s="122"/>
      <c r="I531" s="118"/>
    </row>
    <row r="532">
      <c r="E532" s="122"/>
      <c r="F532" s="122"/>
      <c r="G532" s="122"/>
      <c r="H532" s="122"/>
      <c r="I532" s="118"/>
    </row>
    <row r="533">
      <c r="E533" s="122"/>
      <c r="F533" s="122"/>
      <c r="G533" s="122"/>
      <c r="H533" s="122"/>
      <c r="I533" s="118"/>
    </row>
    <row r="534">
      <c r="E534" s="122"/>
      <c r="F534" s="122"/>
      <c r="G534" s="122"/>
      <c r="H534" s="122"/>
      <c r="I534" s="118"/>
    </row>
    <row r="535">
      <c r="E535" s="122"/>
      <c r="F535" s="122"/>
      <c r="G535" s="122"/>
      <c r="H535" s="122"/>
      <c r="I535" s="118"/>
    </row>
    <row r="536">
      <c r="E536" s="122"/>
      <c r="F536" s="122"/>
      <c r="G536" s="122"/>
      <c r="H536" s="122"/>
      <c r="I536" s="118"/>
    </row>
    <row r="537">
      <c r="E537" s="122"/>
      <c r="F537" s="122"/>
      <c r="G537" s="122"/>
      <c r="H537" s="122"/>
      <c r="I537" s="118"/>
    </row>
    <row r="538">
      <c r="E538" s="122"/>
      <c r="F538" s="122"/>
      <c r="G538" s="122"/>
      <c r="H538" s="122"/>
      <c r="I538" s="118"/>
    </row>
    <row r="539">
      <c r="E539" s="122"/>
      <c r="F539" s="122"/>
      <c r="G539" s="122"/>
      <c r="H539" s="122"/>
      <c r="I539" s="118"/>
    </row>
    <row r="540">
      <c r="E540" s="122"/>
      <c r="F540" s="122"/>
      <c r="G540" s="122"/>
      <c r="H540" s="122"/>
      <c r="I540" s="118"/>
    </row>
    <row r="541">
      <c r="E541" s="122"/>
      <c r="F541" s="122"/>
      <c r="G541" s="122"/>
      <c r="H541" s="122"/>
      <c r="I541" s="118"/>
    </row>
    <row r="542">
      <c r="E542" s="122"/>
      <c r="F542" s="122"/>
      <c r="G542" s="122"/>
      <c r="H542" s="122"/>
      <c r="I542" s="118"/>
    </row>
    <row r="543">
      <c r="E543" s="122"/>
      <c r="F543" s="122"/>
      <c r="G543" s="122"/>
      <c r="H543" s="122"/>
      <c r="I543" s="118"/>
    </row>
    <row r="544">
      <c r="E544" s="122"/>
      <c r="F544" s="122"/>
      <c r="G544" s="122"/>
      <c r="H544" s="122"/>
      <c r="I544" s="118"/>
    </row>
    <row r="545">
      <c r="E545" s="122"/>
      <c r="F545" s="122"/>
      <c r="G545" s="122"/>
      <c r="H545" s="122"/>
      <c r="I545" s="118"/>
    </row>
    <row r="546">
      <c r="E546" s="122"/>
      <c r="F546" s="122"/>
      <c r="G546" s="122"/>
      <c r="H546" s="122"/>
      <c r="I546" s="118"/>
    </row>
    <row r="547">
      <c r="E547" s="122"/>
      <c r="F547" s="122"/>
      <c r="G547" s="122"/>
      <c r="H547" s="122"/>
      <c r="I547" s="118"/>
    </row>
    <row r="548">
      <c r="E548" s="122"/>
      <c r="F548" s="122"/>
      <c r="G548" s="122"/>
      <c r="H548" s="122"/>
      <c r="I548" s="118"/>
    </row>
    <row r="549">
      <c r="E549" s="122"/>
      <c r="F549" s="122"/>
      <c r="G549" s="122"/>
      <c r="H549" s="122"/>
      <c r="I549" s="118"/>
    </row>
    <row r="550">
      <c r="E550" s="122"/>
      <c r="F550" s="122"/>
      <c r="G550" s="122"/>
      <c r="H550" s="122"/>
      <c r="I550" s="118"/>
    </row>
    <row r="551">
      <c r="E551" s="122"/>
      <c r="F551" s="122"/>
      <c r="G551" s="122"/>
      <c r="H551" s="122"/>
      <c r="I551" s="118"/>
    </row>
    <row r="552">
      <c r="E552" s="122"/>
      <c r="F552" s="122"/>
      <c r="G552" s="122"/>
      <c r="H552" s="122"/>
      <c r="I552" s="118"/>
    </row>
    <row r="553">
      <c r="E553" s="122"/>
      <c r="F553" s="122"/>
      <c r="G553" s="122"/>
      <c r="H553" s="122"/>
      <c r="I553" s="118"/>
    </row>
    <row r="554">
      <c r="E554" s="122"/>
      <c r="F554" s="122"/>
      <c r="G554" s="122"/>
      <c r="H554" s="122"/>
      <c r="I554" s="118"/>
    </row>
    <row r="555">
      <c r="E555" s="122"/>
      <c r="F555" s="122"/>
      <c r="G555" s="122"/>
      <c r="H555" s="122"/>
      <c r="I555" s="118"/>
    </row>
    <row r="556">
      <c r="E556" s="122"/>
      <c r="F556" s="122"/>
      <c r="G556" s="122"/>
      <c r="H556" s="122"/>
      <c r="I556" s="118"/>
    </row>
    <row r="557">
      <c r="E557" s="122"/>
      <c r="F557" s="122"/>
      <c r="G557" s="122"/>
      <c r="H557" s="122"/>
      <c r="I557" s="118"/>
    </row>
    <row r="558">
      <c r="E558" s="122"/>
      <c r="F558" s="122"/>
      <c r="G558" s="122"/>
      <c r="H558" s="122"/>
      <c r="I558" s="118"/>
    </row>
    <row r="559">
      <c r="E559" s="122"/>
      <c r="F559" s="122"/>
      <c r="G559" s="122"/>
      <c r="H559" s="122"/>
      <c r="I559" s="118"/>
    </row>
    <row r="560">
      <c r="E560" s="122"/>
      <c r="F560" s="122"/>
      <c r="G560" s="122"/>
      <c r="H560" s="122"/>
      <c r="I560" s="118"/>
    </row>
    <row r="561">
      <c r="E561" s="122"/>
      <c r="F561" s="122"/>
      <c r="G561" s="122"/>
      <c r="H561" s="122"/>
      <c r="I561" s="118"/>
    </row>
    <row r="562">
      <c r="E562" s="122"/>
      <c r="F562" s="122"/>
      <c r="G562" s="122"/>
      <c r="H562" s="122"/>
      <c r="I562" s="118"/>
    </row>
    <row r="563">
      <c r="E563" s="122"/>
      <c r="F563" s="122"/>
      <c r="G563" s="122"/>
      <c r="H563" s="122"/>
      <c r="I563" s="118"/>
    </row>
    <row r="564">
      <c r="E564" s="122"/>
      <c r="F564" s="122"/>
      <c r="G564" s="122"/>
      <c r="H564" s="122"/>
      <c r="I564" s="118"/>
    </row>
    <row r="565">
      <c r="E565" s="122"/>
      <c r="F565" s="122"/>
      <c r="G565" s="122"/>
      <c r="H565" s="122"/>
      <c r="I565" s="118"/>
    </row>
    <row r="566">
      <c r="E566" s="122"/>
      <c r="F566" s="122"/>
      <c r="G566" s="122"/>
      <c r="H566" s="122"/>
      <c r="I566" s="118"/>
    </row>
    <row r="567">
      <c r="E567" s="122"/>
      <c r="F567" s="122"/>
      <c r="G567" s="122"/>
      <c r="H567" s="122"/>
      <c r="I567" s="118"/>
    </row>
    <row r="568">
      <c r="E568" s="122"/>
      <c r="F568" s="122"/>
      <c r="G568" s="122"/>
      <c r="H568" s="122"/>
      <c r="I568" s="118"/>
    </row>
    <row r="569">
      <c r="E569" s="122"/>
      <c r="F569" s="122"/>
      <c r="G569" s="122"/>
      <c r="H569" s="122"/>
      <c r="I569" s="118"/>
    </row>
    <row r="570">
      <c r="E570" s="122"/>
      <c r="F570" s="122"/>
      <c r="G570" s="122"/>
      <c r="H570" s="122"/>
      <c r="I570" s="118"/>
    </row>
    <row r="571">
      <c r="E571" s="122"/>
      <c r="F571" s="122"/>
      <c r="G571" s="122"/>
      <c r="H571" s="122"/>
      <c r="I571" s="118"/>
    </row>
    <row r="572">
      <c r="E572" s="122"/>
      <c r="F572" s="122"/>
      <c r="G572" s="122"/>
      <c r="H572" s="122"/>
      <c r="I572" s="118"/>
    </row>
    <row r="573">
      <c r="E573" s="122"/>
      <c r="F573" s="122"/>
      <c r="G573" s="122"/>
      <c r="H573" s="122"/>
      <c r="I573" s="118"/>
    </row>
    <row r="574">
      <c r="E574" s="122"/>
      <c r="F574" s="122"/>
      <c r="G574" s="122"/>
      <c r="H574" s="122"/>
      <c r="I574" s="118"/>
    </row>
    <row r="575">
      <c r="E575" s="122"/>
      <c r="F575" s="122"/>
      <c r="G575" s="122"/>
      <c r="H575" s="122"/>
      <c r="I575" s="118"/>
    </row>
    <row r="576">
      <c r="E576" s="122"/>
      <c r="F576" s="122"/>
      <c r="G576" s="122"/>
      <c r="H576" s="122"/>
      <c r="I576" s="118"/>
    </row>
    <row r="577">
      <c r="E577" s="122"/>
      <c r="F577" s="122"/>
      <c r="G577" s="122"/>
      <c r="H577" s="122"/>
      <c r="I577" s="118"/>
    </row>
    <row r="578">
      <c r="E578" s="122"/>
      <c r="F578" s="122"/>
      <c r="G578" s="122"/>
      <c r="H578" s="122"/>
      <c r="I578" s="118"/>
    </row>
    <row r="579">
      <c r="E579" s="122"/>
      <c r="F579" s="122"/>
      <c r="G579" s="122"/>
      <c r="H579" s="122"/>
      <c r="I579" s="118"/>
    </row>
    <row r="580">
      <c r="E580" s="122"/>
      <c r="F580" s="122"/>
      <c r="G580" s="122"/>
      <c r="H580" s="122"/>
      <c r="I580" s="118"/>
    </row>
    <row r="581">
      <c r="E581" s="122"/>
      <c r="F581" s="122"/>
      <c r="G581" s="122"/>
      <c r="H581" s="122"/>
      <c r="I581" s="118"/>
    </row>
    <row r="582">
      <c r="E582" s="122"/>
      <c r="F582" s="122"/>
      <c r="G582" s="122"/>
      <c r="H582" s="122"/>
      <c r="I582" s="118"/>
    </row>
    <row r="583">
      <c r="E583" s="122"/>
      <c r="F583" s="122"/>
      <c r="G583" s="122"/>
      <c r="H583" s="122"/>
      <c r="I583" s="118"/>
    </row>
    <row r="584">
      <c r="E584" s="122"/>
      <c r="F584" s="122"/>
      <c r="G584" s="122"/>
      <c r="H584" s="122"/>
      <c r="I584" s="118"/>
    </row>
    <row r="585">
      <c r="E585" s="122"/>
      <c r="F585" s="122"/>
      <c r="G585" s="122"/>
      <c r="H585" s="122"/>
      <c r="I585" s="118"/>
    </row>
    <row r="586">
      <c r="E586" s="122"/>
      <c r="F586" s="122"/>
      <c r="G586" s="122"/>
      <c r="H586" s="122"/>
      <c r="I586" s="118"/>
    </row>
    <row r="587">
      <c r="E587" s="122"/>
      <c r="F587" s="122"/>
      <c r="G587" s="122"/>
      <c r="H587" s="122"/>
      <c r="I587" s="118"/>
    </row>
    <row r="588">
      <c r="E588" s="122"/>
      <c r="F588" s="122"/>
      <c r="G588" s="122"/>
      <c r="H588" s="122"/>
      <c r="I588" s="118"/>
    </row>
    <row r="589">
      <c r="E589" s="122"/>
      <c r="F589" s="122"/>
      <c r="G589" s="122"/>
      <c r="H589" s="122"/>
      <c r="I589" s="118"/>
    </row>
    <row r="590">
      <c r="E590" s="122"/>
      <c r="F590" s="122"/>
      <c r="G590" s="122"/>
      <c r="H590" s="122"/>
      <c r="I590" s="118"/>
    </row>
    <row r="591">
      <c r="E591" s="122"/>
      <c r="F591" s="122"/>
      <c r="G591" s="122"/>
      <c r="H591" s="122"/>
      <c r="I591" s="118"/>
    </row>
    <row r="592">
      <c r="E592" s="122"/>
      <c r="F592" s="122"/>
      <c r="G592" s="122"/>
      <c r="H592" s="122"/>
      <c r="I592" s="118"/>
    </row>
    <row r="593">
      <c r="E593" s="122"/>
      <c r="F593" s="122"/>
      <c r="G593" s="122"/>
      <c r="H593" s="122"/>
      <c r="I593" s="118"/>
    </row>
    <row r="594">
      <c r="E594" s="122"/>
      <c r="F594" s="122"/>
      <c r="G594" s="122"/>
      <c r="H594" s="122"/>
      <c r="I594" s="118"/>
    </row>
    <row r="595">
      <c r="E595" s="122"/>
      <c r="F595" s="122"/>
      <c r="G595" s="122"/>
      <c r="H595" s="122"/>
      <c r="I595" s="118"/>
    </row>
    <row r="596">
      <c r="E596" s="122"/>
      <c r="F596" s="122"/>
      <c r="G596" s="122"/>
      <c r="H596" s="122"/>
      <c r="I596" s="118"/>
    </row>
    <row r="597">
      <c r="E597" s="122"/>
      <c r="F597" s="122"/>
      <c r="G597" s="122"/>
      <c r="H597" s="122"/>
      <c r="I597" s="118"/>
    </row>
    <row r="598">
      <c r="E598" s="122"/>
      <c r="F598" s="122"/>
      <c r="G598" s="122"/>
      <c r="H598" s="122"/>
      <c r="I598" s="118"/>
    </row>
    <row r="599">
      <c r="E599" s="122"/>
      <c r="F599" s="122"/>
      <c r="G599" s="122"/>
      <c r="H599" s="122"/>
      <c r="I599" s="118"/>
    </row>
    <row r="600">
      <c r="E600" s="122"/>
      <c r="F600" s="122"/>
      <c r="G600" s="122"/>
      <c r="H600" s="122"/>
      <c r="I600" s="118"/>
    </row>
    <row r="601">
      <c r="E601" s="122"/>
      <c r="F601" s="122"/>
      <c r="G601" s="122"/>
      <c r="H601" s="122"/>
      <c r="I601" s="118"/>
    </row>
    <row r="602">
      <c r="E602" s="122"/>
      <c r="F602" s="122"/>
      <c r="G602" s="122"/>
      <c r="H602" s="122"/>
      <c r="I602" s="118"/>
    </row>
    <row r="603">
      <c r="E603" s="122"/>
      <c r="F603" s="122"/>
      <c r="G603" s="122"/>
      <c r="H603" s="122"/>
      <c r="I603" s="118"/>
    </row>
    <row r="604">
      <c r="E604" s="122"/>
      <c r="F604" s="122"/>
      <c r="G604" s="122"/>
      <c r="H604" s="122"/>
      <c r="I604" s="118"/>
    </row>
    <row r="605">
      <c r="E605" s="122"/>
      <c r="F605" s="122"/>
      <c r="G605" s="122"/>
      <c r="H605" s="122"/>
      <c r="I605" s="118"/>
    </row>
    <row r="606">
      <c r="E606" s="122"/>
      <c r="F606" s="122"/>
      <c r="G606" s="122"/>
      <c r="H606" s="122"/>
      <c r="I606" s="118"/>
    </row>
    <row r="607">
      <c r="E607" s="122"/>
      <c r="F607" s="122"/>
      <c r="G607" s="122"/>
      <c r="H607" s="122"/>
      <c r="I607" s="118"/>
    </row>
    <row r="608">
      <c r="E608" s="122"/>
      <c r="F608" s="122"/>
      <c r="G608" s="122"/>
      <c r="H608" s="122"/>
      <c r="I608" s="118"/>
    </row>
    <row r="609">
      <c r="E609" s="122"/>
      <c r="F609" s="122"/>
      <c r="G609" s="122"/>
      <c r="H609" s="122"/>
      <c r="I609" s="118"/>
    </row>
    <row r="610">
      <c r="E610" s="122"/>
      <c r="F610" s="122"/>
      <c r="G610" s="122"/>
      <c r="H610" s="122"/>
      <c r="I610" s="118"/>
    </row>
    <row r="611">
      <c r="E611" s="122"/>
      <c r="F611" s="122"/>
      <c r="G611" s="122"/>
      <c r="H611" s="122"/>
      <c r="I611" s="118"/>
    </row>
    <row r="612">
      <c r="E612" s="122"/>
      <c r="F612" s="122"/>
      <c r="G612" s="122"/>
      <c r="H612" s="122"/>
      <c r="I612" s="118"/>
    </row>
    <row r="613">
      <c r="E613" s="122"/>
      <c r="F613" s="122"/>
      <c r="G613" s="122"/>
      <c r="H613" s="122"/>
      <c r="I613" s="118"/>
    </row>
    <row r="614">
      <c r="E614" s="122"/>
      <c r="F614" s="122"/>
      <c r="G614" s="122"/>
      <c r="H614" s="122"/>
      <c r="I614" s="118"/>
    </row>
    <row r="615">
      <c r="E615" s="122"/>
      <c r="F615" s="122"/>
      <c r="G615" s="122"/>
      <c r="H615" s="122"/>
      <c r="I615" s="118"/>
    </row>
    <row r="616">
      <c r="E616" s="122"/>
      <c r="F616" s="122"/>
      <c r="G616" s="122"/>
      <c r="H616" s="122"/>
      <c r="I616" s="118"/>
    </row>
    <row r="617">
      <c r="E617" s="122"/>
      <c r="F617" s="122"/>
      <c r="G617" s="122"/>
      <c r="H617" s="122"/>
      <c r="I617" s="118"/>
    </row>
    <row r="618">
      <c r="E618" s="122"/>
      <c r="F618" s="122"/>
      <c r="G618" s="122"/>
      <c r="H618" s="122"/>
      <c r="I618" s="118"/>
    </row>
    <row r="619">
      <c r="E619" s="122"/>
      <c r="F619" s="122"/>
      <c r="G619" s="122"/>
      <c r="H619" s="122"/>
      <c r="I619" s="118"/>
    </row>
    <row r="620">
      <c r="E620" s="122"/>
      <c r="F620" s="122"/>
      <c r="G620" s="122"/>
      <c r="H620" s="122"/>
      <c r="I620" s="118"/>
    </row>
    <row r="621">
      <c r="E621" s="122"/>
      <c r="F621" s="122"/>
      <c r="G621" s="122"/>
      <c r="H621" s="122"/>
      <c r="I621" s="118"/>
    </row>
    <row r="622">
      <c r="E622" s="122"/>
      <c r="F622" s="122"/>
      <c r="G622" s="122"/>
      <c r="H622" s="122"/>
      <c r="I622" s="118"/>
    </row>
    <row r="623">
      <c r="E623" s="122"/>
      <c r="F623" s="122"/>
      <c r="G623" s="122"/>
      <c r="H623" s="122"/>
      <c r="I623" s="118"/>
    </row>
    <row r="624">
      <c r="E624" s="122"/>
      <c r="F624" s="122"/>
      <c r="G624" s="122"/>
      <c r="H624" s="122"/>
      <c r="I624" s="118"/>
    </row>
    <row r="625">
      <c r="E625" s="122"/>
      <c r="F625" s="122"/>
      <c r="G625" s="122"/>
      <c r="H625" s="122"/>
      <c r="I625" s="118"/>
    </row>
    <row r="626">
      <c r="E626" s="122"/>
      <c r="F626" s="122"/>
      <c r="G626" s="122"/>
      <c r="H626" s="122"/>
      <c r="I626" s="118"/>
    </row>
    <row r="627">
      <c r="E627" s="122"/>
      <c r="F627" s="122"/>
      <c r="G627" s="122"/>
      <c r="H627" s="122"/>
      <c r="I627" s="118"/>
    </row>
    <row r="628">
      <c r="E628" s="122"/>
      <c r="F628" s="122"/>
      <c r="G628" s="122"/>
      <c r="H628" s="122"/>
      <c r="I628" s="118"/>
    </row>
    <row r="629">
      <c r="E629" s="122"/>
      <c r="F629" s="122"/>
      <c r="G629" s="122"/>
      <c r="H629" s="122"/>
      <c r="I629" s="118"/>
    </row>
    <row r="630">
      <c r="E630" s="122"/>
      <c r="F630" s="122"/>
      <c r="G630" s="122"/>
      <c r="H630" s="122"/>
      <c r="I630" s="118"/>
    </row>
    <row r="631">
      <c r="E631" s="122"/>
      <c r="F631" s="122"/>
      <c r="G631" s="122"/>
      <c r="H631" s="122"/>
      <c r="I631" s="118"/>
    </row>
    <row r="632">
      <c r="E632" s="122"/>
      <c r="F632" s="122"/>
      <c r="G632" s="122"/>
      <c r="H632" s="122"/>
      <c r="I632" s="118"/>
    </row>
    <row r="633">
      <c r="E633" s="122"/>
      <c r="F633" s="122"/>
      <c r="G633" s="122"/>
      <c r="H633" s="122"/>
      <c r="I633" s="118"/>
    </row>
    <row r="634">
      <c r="E634" s="122"/>
      <c r="F634" s="122"/>
      <c r="G634" s="122"/>
      <c r="H634" s="122"/>
      <c r="I634" s="118"/>
    </row>
    <row r="635">
      <c r="E635" s="122"/>
      <c r="F635" s="122"/>
      <c r="G635" s="122"/>
      <c r="H635" s="122"/>
      <c r="I635" s="118"/>
    </row>
    <row r="636">
      <c r="E636" s="122"/>
      <c r="F636" s="122"/>
      <c r="G636" s="122"/>
      <c r="H636" s="122"/>
      <c r="I636" s="118"/>
    </row>
    <row r="637">
      <c r="E637" s="122"/>
      <c r="F637" s="122"/>
      <c r="G637" s="122"/>
      <c r="H637" s="122"/>
      <c r="I637" s="118"/>
    </row>
    <row r="638">
      <c r="E638" s="122"/>
      <c r="F638" s="122"/>
      <c r="G638" s="122"/>
      <c r="H638" s="122"/>
      <c r="I638" s="118"/>
    </row>
    <row r="639">
      <c r="E639" s="122"/>
      <c r="F639" s="122"/>
      <c r="G639" s="122"/>
      <c r="H639" s="122"/>
      <c r="I639" s="118"/>
    </row>
    <row r="640">
      <c r="E640" s="122"/>
      <c r="F640" s="122"/>
      <c r="G640" s="122"/>
      <c r="H640" s="122"/>
      <c r="I640" s="118"/>
    </row>
    <row r="641">
      <c r="E641" s="122"/>
      <c r="F641" s="122"/>
      <c r="G641" s="122"/>
      <c r="H641" s="122"/>
      <c r="I641" s="118"/>
    </row>
    <row r="642">
      <c r="E642" s="122"/>
      <c r="F642" s="122"/>
      <c r="G642" s="122"/>
      <c r="H642" s="122"/>
      <c r="I642" s="118"/>
    </row>
    <row r="643">
      <c r="E643" s="122"/>
      <c r="F643" s="122"/>
      <c r="G643" s="122"/>
      <c r="H643" s="122"/>
      <c r="I643" s="118"/>
    </row>
    <row r="644">
      <c r="E644" s="122"/>
      <c r="F644" s="122"/>
      <c r="G644" s="122"/>
      <c r="H644" s="122"/>
      <c r="I644" s="118"/>
    </row>
    <row r="645">
      <c r="E645" s="122"/>
      <c r="F645" s="122"/>
      <c r="G645" s="122"/>
      <c r="H645" s="122"/>
      <c r="I645" s="118"/>
    </row>
    <row r="646">
      <c r="E646" s="122"/>
      <c r="F646" s="122"/>
      <c r="G646" s="122"/>
      <c r="H646" s="122"/>
      <c r="I646" s="118"/>
    </row>
    <row r="647">
      <c r="E647" s="122"/>
      <c r="F647" s="122"/>
      <c r="G647" s="122"/>
      <c r="H647" s="122"/>
      <c r="I647" s="118"/>
    </row>
    <row r="648">
      <c r="E648" s="122"/>
      <c r="F648" s="122"/>
      <c r="G648" s="122"/>
      <c r="H648" s="122"/>
      <c r="I648" s="118"/>
    </row>
    <row r="649">
      <c r="E649" s="122"/>
      <c r="F649" s="122"/>
      <c r="G649" s="122"/>
      <c r="H649" s="122"/>
      <c r="I649" s="118"/>
    </row>
    <row r="650">
      <c r="E650" s="122"/>
      <c r="F650" s="122"/>
      <c r="G650" s="122"/>
      <c r="H650" s="122"/>
      <c r="I650" s="118"/>
    </row>
    <row r="651">
      <c r="E651" s="122"/>
      <c r="F651" s="122"/>
      <c r="G651" s="122"/>
      <c r="H651" s="122"/>
      <c r="I651" s="118"/>
    </row>
    <row r="652">
      <c r="E652" s="122"/>
      <c r="F652" s="122"/>
      <c r="G652" s="122"/>
      <c r="H652" s="122"/>
      <c r="I652" s="118"/>
    </row>
    <row r="653">
      <c r="E653" s="122"/>
      <c r="F653" s="122"/>
      <c r="G653" s="122"/>
      <c r="H653" s="122"/>
      <c r="I653" s="118"/>
    </row>
    <row r="654">
      <c r="E654" s="122"/>
      <c r="F654" s="122"/>
      <c r="G654" s="122"/>
      <c r="H654" s="122"/>
      <c r="I654" s="118"/>
    </row>
    <row r="655">
      <c r="E655" s="122"/>
      <c r="F655" s="122"/>
      <c r="G655" s="122"/>
      <c r="H655" s="122"/>
      <c r="I655" s="118"/>
    </row>
    <row r="656">
      <c r="E656" s="122"/>
      <c r="F656" s="122"/>
      <c r="G656" s="122"/>
      <c r="H656" s="122"/>
      <c r="I656" s="118"/>
    </row>
    <row r="657">
      <c r="E657" s="122"/>
      <c r="F657" s="122"/>
      <c r="G657" s="122"/>
      <c r="H657" s="122"/>
      <c r="I657" s="118"/>
    </row>
    <row r="658">
      <c r="E658" s="122"/>
      <c r="F658" s="122"/>
      <c r="G658" s="122"/>
      <c r="H658" s="122"/>
      <c r="I658" s="118"/>
    </row>
    <row r="659">
      <c r="E659" s="122"/>
      <c r="F659" s="122"/>
      <c r="G659" s="122"/>
      <c r="H659" s="122"/>
      <c r="I659" s="118"/>
    </row>
    <row r="660">
      <c r="E660" s="122"/>
      <c r="F660" s="122"/>
      <c r="G660" s="122"/>
      <c r="H660" s="122"/>
      <c r="I660" s="118"/>
    </row>
    <row r="661">
      <c r="E661" s="122"/>
      <c r="F661" s="122"/>
      <c r="G661" s="122"/>
      <c r="H661" s="122"/>
      <c r="I661" s="118"/>
    </row>
    <row r="662">
      <c r="E662" s="122"/>
      <c r="F662" s="122"/>
      <c r="G662" s="122"/>
      <c r="H662" s="122"/>
      <c r="I662" s="118"/>
    </row>
    <row r="663">
      <c r="E663" s="122"/>
      <c r="F663" s="122"/>
      <c r="G663" s="122"/>
      <c r="H663" s="122"/>
      <c r="I663" s="118"/>
    </row>
    <row r="664">
      <c r="E664" s="122"/>
      <c r="F664" s="122"/>
      <c r="G664" s="122"/>
      <c r="H664" s="122"/>
      <c r="I664" s="118"/>
    </row>
    <row r="665">
      <c r="E665" s="122"/>
      <c r="F665" s="122"/>
      <c r="G665" s="122"/>
      <c r="H665" s="122"/>
      <c r="I665" s="118"/>
    </row>
    <row r="666">
      <c r="E666" s="122"/>
      <c r="F666" s="122"/>
      <c r="G666" s="122"/>
      <c r="H666" s="122"/>
      <c r="I666" s="118"/>
    </row>
    <row r="667">
      <c r="E667" s="122"/>
      <c r="F667" s="122"/>
      <c r="G667" s="122"/>
      <c r="H667" s="122"/>
      <c r="I667" s="118"/>
    </row>
    <row r="668">
      <c r="E668" s="122"/>
      <c r="F668" s="122"/>
      <c r="G668" s="122"/>
      <c r="H668" s="122"/>
      <c r="I668" s="118"/>
    </row>
    <row r="669">
      <c r="E669" s="122"/>
      <c r="F669" s="122"/>
      <c r="G669" s="122"/>
      <c r="H669" s="122"/>
      <c r="I669" s="118"/>
    </row>
    <row r="670">
      <c r="E670" s="122"/>
      <c r="F670" s="122"/>
      <c r="G670" s="122"/>
      <c r="H670" s="122"/>
      <c r="I670" s="118"/>
    </row>
    <row r="671">
      <c r="E671" s="122"/>
      <c r="F671" s="122"/>
      <c r="G671" s="122"/>
      <c r="H671" s="122"/>
      <c r="I671" s="118"/>
    </row>
    <row r="672">
      <c r="E672" s="122"/>
      <c r="F672" s="122"/>
      <c r="G672" s="122"/>
      <c r="H672" s="122"/>
      <c r="I672" s="118"/>
    </row>
    <row r="673">
      <c r="E673" s="122"/>
      <c r="F673" s="122"/>
      <c r="G673" s="122"/>
      <c r="H673" s="122"/>
      <c r="I673" s="118"/>
    </row>
    <row r="674">
      <c r="E674" s="122"/>
      <c r="F674" s="122"/>
      <c r="G674" s="122"/>
      <c r="H674" s="122"/>
      <c r="I674" s="118"/>
    </row>
    <row r="675">
      <c r="E675" s="122"/>
      <c r="F675" s="122"/>
      <c r="G675" s="122"/>
      <c r="H675" s="122"/>
      <c r="I675" s="118"/>
    </row>
    <row r="676">
      <c r="E676" s="122"/>
      <c r="F676" s="122"/>
      <c r="G676" s="122"/>
      <c r="H676" s="122"/>
      <c r="I676" s="118"/>
    </row>
    <row r="677">
      <c r="E677" s="122"/>
      <c r="F677" s="122"/>
      <c r="G677" s="122"/>
      <c r="H677" s="122"/>
      <c r="I677" s="118"/>
    </row>
    <row r="678">
      <c r="E678" s="122"/>
      <c r="F678" s="122"/>
      <c r="G678" s="122"/>
      <c r="H678" s="122"/>
      <c r="I678" s="118"/>
    </row>
    <row r="679">
      <c r="E679" s="122"/>
      <c r="F679" s="122"/>
      <c r="G679" s="122"/>
      <c r="H679" s="122"/>
      <c r="I679" s="118"/>
    </row>
    <row r="680">
      <c r="E680" s="122"/>
      <c r="F680" s="122"/>
      <c r="G680" s="122"/>
      <c r="H680" s="122"/>
      <c r="I680" s="118"/>
    </row>
    <row r="681">
      <c r="E681" s="122"/>
      <c r="F681" s="122"/>
      <c r="G681" s="122"/>
      <c r="H681" s="122"/>
      <c r="I681" s="118"/>
    </row>
    <row r="682">
      <c r="E682" s="122"/>
      <c r="F682" s="122"/>
      <c r="G682" s="122"/>
      <c r="H682" s="122"/>
      <c r="I682" s="118"/>
    </row>
    <row r="683">
      <c r="E683" s="122"/>
      <c r="F683" s="122"/>
      <c r="G683" s="122"/>
      <c r="H683" s="122"/>
      <c r="I683" s="118"/>
    </row>
    <row r="684">
      <c r="E684" s="122"/>
      <c r="F684" s="122"/>
      <c r="G684" s="122"/>
      <c r="H684" s="122"/>
      <c r="I684" s="118"/>
    </row>
    <row r="685">
      <c r="E685" s="122"/>
      <c r="F685" s="122"/>
      <c r="G685" s="122"/>
      <c r="H685" s="122"/>
      <c r="I685" s="118"/>
    </row>
    <row r="686">
      <c r="E686" s="122"/>
      <c r="F686" s="122"/>
      <c r="G686" s="122"/>
      <c r="H686" s="122"/>
      <c r="I686" s="118"/>
    </row>
    <row r="687">
      <c r="E687" s="122"/>
      <c r="F687" s="122"/>
      <c r="G687" s="122"/>
      <c r="H687" s="122"/>
      <c r="I687" s="118"/>
    </row>
    <row r="688">
      <c r="E688" s="122"/>
      <c r="F688" s="122"/>
      <c r="G688" s="122"/>
      <c r="H688" s="122"/>
      <c r="I688" s="118"/>
    </row>
    <row r="689">
      <c r="E689" s="122"/>
      <c r="F689" s="122"/>
      <c r="G689" s="122"/>
      <c r="H689" s="122"/>
      <c r="I689" s="118"/>
    </row>
    <row r="690">
      <c r="E690" s="122"/>
      <c r="F690" s="122"/>
      <c r="G690" s="122"/>
      <c r="H690" s="122"/>
      <c r="I690" s="118"/>
    </row>
    <row r="691">
      <c r="E691" s="122"/>
      <c r="F691" s="122"/>
      <c r="G691" s="122"/>
      <c r="H691" s="122"/>
      <c r="I691" s="118"/>
    </row>
    <row r="692">
      <c r="E692" s="122"/>
      <c r="F692" s="122"/>
      <c r="G692" s="122"/>
      <c r="H692" s="122"/>
      <c r="I692" s="118"/>
    </row>
    <row r="693">
      <c r="E693" s="122"/>
      <c r="F693" s="122"/>
      <c r="G693" s="122"/>
      <c r="H693" s="122"/>
      <c r="I693" s="118"/>
    </row>
    <row r="694">
      <c r="E694" s="122"/>
      <c r="F694" s="122"/>
      <c r="G694" s="122"/>
      <c r="H694" s="122"/>
      <c r="I694" s="118"/>
    </row>
    <row r="695">
      <c r="E695" s="122"/>
      <c r="F695" s="122"/>
      <c r="G695" s="122"/>
      <c r="H695" s="122"/>
      <c r="I695" s="118"/>
    </row>
    <row r="696">
      <c r="E696" s="122"/>
      <c r="F696" s="122"/>
      <c r="G696" s="122"/>
      <c r="H696" s="122"/>
      <c r="I696" s="118"/>
    </row>
    <row r="697">
      <c r="E697" s="122"/>
      <c r="F697" s="122"/>
      <c r="G697" s="122"/>
      <c r="H697" s="122"/>
      <c r="I697" s="118"/>
    </row>
    <row r="698">
      <c r="E698" s="122"/>
      <c r="F698" s="122"/>
      <c r="G698" s="122"/>
      <c r="H698" s="122"/>
      <c r="I698" s="118"/>
    </row>
    <row r="699">
      <c r="E699" s="122"/>
      <c r="F699" s="122"/>
      <c r="G699" s="122"/>
      <c r="H699" s="122"/>
      <c r="I699" s="118"/>
    </row>
    <row r="700">
      <c r="E700" s="122"/>
      <c r="F700" s="122"/>
      <c r="G700" s="122"/>
      <c r="H700" s="122"/>
      <c r="I700" s="118"/>
    </row>
    <row r="701">
      <c r="E701" s="122"/>
      <c r="F701" s="122"/>
      <c r="G701" s="122"/>
      <c r="H701" s="122"/>
      <c r="I701" s="118"/>
    </row>
    <row r="702">
      <c r="E702" s="122"/>
      <c r="F702" s="122"/>
      <c r="G702" s="122"/>
      <c r="H702" s="122"/>
      <c r="I702" s="118"/>
    </row>
    <row r="703">
      <c r="E703" s="122"/>
      <c r="F703" s="122"/>
      <c r="G703" s="122"/>
      <c r="H703" s="122"/>
      <c r="I703" s="118"/>
    </row>
    <row r="704">
      <c r="E704" s="122"/>
      <c r="F704" s="122"/>
      <c r="G704" s="122"/>
      <c r="H704" s="122"/>
      <c r="I704" s="118"/>
    </row>
    <row r="705">
      <c r="E705" s="122"/>
      <c r="F705" s="122"/>
      <c r="G705" s="122"/>
      <c r="H705" s="122"/>
      <c r="I705" s="118"/>
    </row>
    <row r="706">
      <c r="E706" s="122"/>
      <c r="F706" s="122"/>
      <c r="G706" s="122"/>
      <c r="H706" s="122"/>
      <c r="I706" s="118"/>
    </row>
    <row r="707">
      <c r="E707" s="122"/>
      <c r="F707" s="122"/>
      <c r="G707" s="122"/>
      <c r="H707" s="122"/>
      <c r="I707" s="118"/>
    </row>
    <row r="708">
      <c r="E708" s="122"/>
      <c r="F708" s="122"/>
      <c r="G708" s="122"/>
      <c r="H708" s="122"/>
      <c r="I708" s="118"/>
    </row>
    <row r="709">
      <c r="E709" s="122"/>
      <c r="F709" s="122"/>
      <c r="G709" s="122"/>
      <c r="H709" s="122"/>
      <c r="I709" s="118"/>
    </row>
    <row r="710">
      <c r="E710" s="122"/>
      <c r="F710" s="122"/>
      <c r="G710" s="122"/>
      <c r="H710" s="122"/>
      <c r="I710" s="118"/>
    </row>
    <row r="711">
      <c r="E711" s="122"/>
      <c r="F711" s="122"/>
      <c r="G711" s="122"/>
      <c r="H711" s="122"/>
      <c r="I711" s="118"/>
    </row>
    <row r="712">
      <c r="E712" s="122"/>
      <c r="F712" s="122"/>
      <c r="G712" s="122"/>
      <c r="H712" s="122"/>
      <c r="I712" s="118"/>
    </row>
    <row r="713">
      <c r="E713" s="122"/>
      <c r="F713" s="122"/>
      <c r="G713" s="122"/>
      <c r="H713" s="122"/>
      <c r="I713" s="118"/>
    </row>
    <row r="714">
      <c r="E714" s="122"/>
      <c r="F714" s="122"/>
      <c r="G714" s="122"/>
      <c r="H714" s="122"/>
      <c r="I714" s="118"/>
    </row>
    <row r="715">
      <c r="E715" s="122"/>
      <c r="F715" s="122"/>
      <c r="G715" s="122"/>
      <c r="H715" s="122"/>
      <c r="I715" s="118"/>
    </row>
    <row r="716">
      <c r="E716" s="122"/>
      <c r="F716" s="122"/>
      <c r="G716" s="122"/>
      <c r="H716" s="122"/>
      <c r="I716" s="118"/>
    </row>
    <row r="717">
      <c r="E717" s="122"/>
      <c r="F717" s="122"/>
      <c r="G717" s="122"/>
      <c r="H717" s="122"/>
      <c r="I717" s="118"/>
    </row>
    <row r="718">
      <c r="E718" s="122"/>
      <c r="F718" s="122"/>
      <c r="G718" s="122"/>
      <c r="H718" s="122"/>
      <c r="I718" s="118"/>
    </row>
    <row r="719">
      <c r="E719" s="122"/>
      <c r="F719" s="122"/>
      <c r="G719" s="122"/>
      <c r="H719" s="122"/>
      <c r="I719" s="118"/>
    </row>
    <row r="720">
      <c r="E720" s="122"/>
      <c r="F720" s="122"/>
      <c r="G720" s="122"/>
      <c r="H720" s="122"/>
      <c r="I720" s="118"/>
    </row>
    <row r="721">
      <c r="E721" s="122"/>
      <c r="F721" s="122"/>
      <c r="G721" s="122"/>
      <c r="H721" s="122"/>
      <c r="I721" s="118"/>
    </row>
    <row r="722">
      <c r="E722" s="122"/>
      <c r="F722" s="122"/>
      <c r="G722" s="122"/>
      <c r="H722" s="122"/>
      <c r="I722" s="118"/>
    </row>
    <row r="723">
      <c r="E723" s="122"/>
      <c r="F723" s="122"/>
      <c r="G723" s="122"/>
      <c r="H723" s="122"/>
      <c r="I723" s="118"/>
    </row>
    <row r="724">
      <c r="E724" s="122"/>
      <c r="F724" s="122"/>
      <c r="G724" s="122"/>
      <c r="H724" s="122"/>
      <c r="I724" s="118"/>
    </row>
    <row r="725">
      <c r="E725" s="122"/>
      <c r="F725" s="122"/>
      <c r="G725" s="122"/>
      <c r="H725" s="122"/>
      <c r="I725" s="118"/>
    </row>
    <row r="726">
      <c r="E726" s="122"/>
      <c r="F726" s="122"/>
      <c r="G726" s="122"/>
      <c r="H726" s="122"/>
      <c r="I726" s="118"/>
    </row>
    <row r="727">
      <c r="E727" s="122"/>
      <c r="F727" s="122"/>
      <c r="G727" s="122"/>
      <c r="H727" s="122"/>
      <c r="I727" s="118"/>
    </row>
    <row r="728">
      <c r="E728" s="122"/>
      <c r="F728" s="122"/>
      <c r="G728" s="122"/>
      <c r="H728" s="122"/>
      <c r="I728" s="118"/>
    </row>
    <row r="729">
      <c r="E729" s="122"/>
      <c r="F729" s="122"/>
      <c r="G729" s="122"/>
      <c r="H729" s="122"/>
      <c r="I729" s="118"/>
    </row>
    <row r="730">
      <c r="E730" s="122"/>
      <c r="F730" s="122"/>
      <c r="G730" s="122"/>
      <c r="H730" s="122"/>
      <c r="I730" s="118"/>
    </row>
    <row r="731">
      <c r="E731" s="122"/>
      <c r="F731" s="122"/>
      <c r="G731" s="122"/>
      <c r="H731" s="122"/>
      <c r="I731" s="118"/>
    </row>
    <row r="732">
      <c r="E732" s="122"/>
      <c r="F732" s="122"/>
      <c r="G732" s="122"/>
      <c r="H732" s="122"/>
      <c r="I732" s="118"/>
    </row>
    <row r="733">
      <c r="E733" s="122"/>
      <c r="F733" s="122"/>
      <c r="G733" s="122"/>
      <c r="H733" s="122"/>
      <c r="I733" s="118"/>
    </row>
    <row r="734">
      <c r="E734" s="122"/>
      <c r="F734" s="122"/>
      <c r="G734" s="122"/>
      <c r="H734" s="122"/>
      <c r="I734" s="118"/>
    </row>
    <row r="735">
      <c r="E735" s="122"/>
      <c r="F735" s="122"/>
      <c r="G735" s="122"/>
      <c r="H735" s="122"/>
      <c r="I735" s="118"/>
    </row>
    <row r="736">
      <c r="E736" s="122"/>
      <c r="F736" s="122"/>
      <c r="G736" s="122"/>
      <c r="H736" s="122"/>
      <c r="I736" s="118"/>
    </row>
    <row r="737">
      <c r="E737" s="122"/>
      <c r="F737" s="122"/>
      <c r="G737" s="122"/>
      <c r="H737" s="122"/>
      <c r="I737" s="118"/>
    </row>
    <row r="738">
      <c r="E738" s="122"/>
      <c r="F738" s="122"/>
      <c r="G738" s="122"/>
      <c r="H738" s="122"/>
      <c r="I738" s="118"/>
    </row>
    <row r="739">
      <c r="E739" s="122"/>
      <c r="F739" s="122"/>
      <c r="G739" s="122"/>
      <c r="H739" s="122"/>
      <c r="I739" s="118"/>
    </row>
    <row r="740">
      <c r="E740" s="122"/>
      <c r="F740" s="122"/>
      <c r="G740" s="122"/>
      <c r="H740" s="122"/>
      <c r="I740" s="118"/>
    </row>
    <row r="741">
      <c r="E741" s="122"/>
      <c r="F741" s="122"/>
      <c r="G741" s="122"/>
      <c r="H741" s="122"/>
      <c r="I741" s="118"/>
    </row>
    <row r="742">
      <c r="E742" s="122"/>
      <c r="F742" s="122"/>
      <c r="G742" s="122"/>
      <c r="H742" s="122"/>
      <c r="I742" s="118"/>
    </row>
    <row r="743">
      <c r="E743" s="122"/>
      <c r="F743" s="122"/>
      <c r="G743" s="122"/>
      <c r="H743" s="122"/>
      <c r="I743" s="118"/>
    </row>
    <row r="744">
      <c r="E744" s="122"/>
      <c r="F744" s="122"/>
      <c r="G744" s="122"/>
      <c r="H744" s="122"/>
      <c r="I744" s="118"/>
    </row>
    <row r="745">
      <c r="E745" s="122"/>
      <c r="F745" s="122"/>
      <c r="G745" s="122"/>
      <c r="H745" s="122"/>
      <c r="I745" s="118"/>
    </row>
    <row r="746">
      <c r="E746" s="122"/>
      <c r="F746" s="122"/>
      <c r="G746" s="122"/>
      <c r="H746" s="122"/>
      <c r="I746" s="118"/>
    </row>
    <row r="747">
      <c r="E747" s="122"/>
      <c r="F747" s="122"/>
      <c r="G747" s="122"/>
      <c r="H747" s="122"/>
      <c r="I747" s="118"/>
    </row>
    <row r="748">
      <c r="E748" s="122"/>
      <c r="F748" s="122"/>
      <c r="G748" s="122"/>
      <c r="H748" s="122"/>
      <c r="I748" s="118"/>
    </row>
    <row r="749">
      <c r="E749" s="122"/>
      <c r="F749" s="122"/>
      <c r="G749" s="122"/>
      <c r="H749" s="122"/>
      <c r="I749" s="118"/>
    </row>
    <row r="750">
      <c r="E750" s="122"/>
      <c r="F750" s="122"/>
      <c r="G750" s="122"/>
      <c r="H750" s="122"/>
      <c r="I750" s="118"/>
    </row>
    <row r="751">
      <c r="E751" s="122"/>
      <c r="F751" s="122"/>
      <c r="G751" s="122"/>
      <c r="H751" s="122"/>
      <c r="I751" s="118"/>
    </row>
    <row r="752">
      <c r="E752" s="122"/>
      <c r="F752" s="122"/>
      <c r="G752" s="122"/>
      <c r="H752" s="122"/>
      <c r="I752" s="118"/>
    </row>
    <row r="753">
      <c r="E753" s="122"/>
      <c r="F753" s="122"/>
      <c r="G753" s="122"/>
      <c r="H753" s="122"/>
      <c r="I753" s="118"/>
    </row>
    <row r="754">
      <c r="E754" s="122"/>
      <c r="F754" s="122"/>
      <c r="G754" s="122"/>
      <c r="H754" s="122"/>
      <c r="I754" s="118"/>
    </row>
    <row r="755">
      <c r="E755" s="122"/>
      <c r="F755" s="122"/>
      <c r="G755" s="122"/>
      <c r="H755" s="122"/>
      <c r="I755" s="118"/>
    </row>
    <row r="756">
      <c r="E756" s="122"/>
      <c r="F756" s="122"/>
      <c r="G756" s="122"/>
      <c r="H756" s="122"/>
      <c r="I756" s="118"/>
    </row>
    <row r="757">
      <c r="E757" s="122"/>
      <c r="F757" s="122"/>
      <c r="G757" s="122"/>
      <c r="H757" s="122"/>
      <c r="I757" s="118"/>
    </row>
    <row r="758">
      <c r="E758" s="122"/>
      <c r="F758" s="122"/>
      <c r="G758" s="122"/>
      <c r="H758" s="122"/>
      <c r="I758" s="118"/>
    </row>
    <row r="759">
      <c r="E759" s="122"/>
      <c r="F759" s="122"/>
      <c r="G759" s="122"/>
      <c r="H759" s="122"/>
      <c r="I759" s="118"/>
    </row>
    <row r="760">
      <c r="E760" s="122"/>
      <c r="F760" s="122"/>
      <c r="G760" s="122"/>
      <c r="H760" s="122"/>
      <c r="I760" s="118"/>
    </row>
    <row r="761">
      <c r="E761" s="122"/>
      <c r="F761" s="122"/>
      <c r="G761" s="122"/>
      <c r="H761" s="122"/>
      <c r="I761" s="118"/>
    </row>
    <row r="762">
      <c r="E762" s="122"/>
      <c r="F762" s="122"/>
      <c r="G762" s="122"/>
      <c r="H762" s="122"/>
      <c r="I762" s="118"/>
    </row>
    <row r="763">
      <c r="E763" s="122"/>
      <c r="F763" s="122"/>
      <c r="G763" s="122"/>
      <c r="H763" s="122"/>
      <c r="I763" s="118"/>
    </row>
    <row r="764">
      <c r="E764" s="122"/>
      <c r="F764" s="122"/>
      <c r="G764" s="122"/>
      <c r="H764" s="122"/>
      <c r="I764" s="118"/>
    </row>
    <row r="765">
      <c r="E765" s="122"/>
      <c r="F765" s="122"/>
      <c r="G765" s="122"/>
      <c r="H765" s="122"/>
      <c r="I765" s="118"/>
    </row>
    <row r="766">
      <c r="E766" s="122"/>
      <c r="F766" s="122"/>
      <c r="G766" s="122"/>
      <c r="H766" s="122"/>
      <c r="I766" s="118"/>
    </row>
    <row r="767">
      <c r="E767" s="122"/>
      <c r="F767" s="122"/>
      <c r="G767" s="122"/>
      <c r="H767" s="122"/>
      <c r="I767" s="118"/>
    </row>
    <row r="768">
      <c r="E768" s="122"/>
      <c r="F768" s="122"/>
      <c r="G768" s="122"/>
      <c r="H768" s="122"/>
      <c r="I768" s="118"/>
    </row>
    <row r="769">
      <c r="E769" s="122"/>
      <c r="F769" s="122"/>
      <c r="G769" s="122"/>
      <c r="H769" s="122"/>
      <c r="I769" s="118"/>
    </row>
    <row r="770">
      <c r="E770" s="122"/>
      <c r="F770" s="122"/>
      <c r="G770" s="122"/>
      <c r="H770" s="122"/>
      <c r="I770" s="118"/>
    </row>
    <row r="771">
      <c r="E771" s="122"/>
      <c r="F771" s="122"/>
      <c r="G771" s="122"/>
      <c r="H771" s="122"/>
      <c r="I771" s="118"/>
    </row>
    <row r="772">
      <c r="E772" s="122"/>
      <c r="F772" s="122"/>
      <c r="G772" s="122"/>
      <c r="H772" s="122"/>
      <c r="I772" s="118"/>
    </row>
    <row r="773">
      <c r="E773" s="122"/>
      <c r="F773" s="122"/>
      <c r="G773" s="122"/>
      <c r="H773" s="122"/>
      <c r="I773" s="118"/>
    </row>
    <row r="774">
      <c r="E774" s="122"/>
      <c r="F774" s="122"/>
      <c r="G774" s="122"/>
      <c r="H774" s="122"/>
      <c r="I774" s="118"/>
    </row>
    <row r="775">
      <c r="E775" s="122"/>
      <c r="F775" s="122"/>
      <c r="G775" s="122"/>
      <c r="H775" s="122"/>
      <c r="I775" s="118"/>
    </row>
    <row r="776">
      <c r="E776" s="122"/>
      <c r="F776" s="122"/>
      <c r="G776" s="122"/>
      <c r="H776" s="122"/>
      <c r="I776" s="118"/>
    </row>
    <row r="777">
      <c r="E777" s="122"/>
      <c r="F777" s="122"/>
      <c r="G777" s="122"/>
      <c r="H777" s="122"/>
      <c r="I777" s="118"/>
    </row>
    <row r="778">
      <c r="E778" s="122"/>
      <c r="F778" s="122"/>
      <c r="G778" s="122"/>
      <c r="H778" s="122"/>
      <c r="I778" s="118"/>
    </row>
    <row r="779">
      <c r="E779" s="122"/>
      <c r="F779" s="122"/>
      <c r="G779" s="122"/>
      <c r="H779" s="122"/>
      <c r="I779" s="118"/>
    </row>
    <row r="780">
      <c r="E780" s="122"/>
      <c r="F780" s="122"/>
      <c r="G780" s="122"/>
      <c r="H780" s="122"/>
      <c r="I780" s="118"/>
    </row>
    <row r="781">
      <c r="E781" s="122"/>
      <c r="F781" s="122"/>
      <c r="G781" s="122"/>
      <c r="H781" s="122"/>
      <c r="I781" s="118"/>
    </row>
    <row r="782">
      <c r="E782" s="122"/>
      <c r="F782" s="122"/>
      <c r="G782" s="122"/>
      <c r="H782" s="122"/>
      <c r="I782" s="118"/>
    </row>
    <row r="783">
      <c r="E783" s="122"/>
      <c r="F783" s="122"/>
      <c r="G783" s="122"/>
      <c r="H783" s="122"/>
      <c r="I783" s="118"/>
    </row>
    <row r="784">
      <c r="E784" s="122"/>
      <c r="F784" s="122"/>
      <c r="G784" s="122"/>
      <c r="H784" s="122"/>
      <c r="I784" s="118"/>
    </row>
    <row r="785">
      <c r="E785" s="122"/>
      <c r="F785" s="122"/>
      <c r="G785" s="122"/>
      <c r="H785" s="122"/>
      <c r="I785" s="118"/>
    </row>
    <row r="786">
      <c r="E786" s="122"/>
      <c r="F786" s="122"/>
      <c r="G786" s="122"/>
      <c r="H786" s="122"/>
      <c r="I786" s="118"/>
    </row>
    <row r="787">
      <c r="E787" s="122"/>
      <c r="F787" s="122"/>
      <c r="G787" s="122"/>
      <c r="H787" s="122"/>
      <c r="I787" s="118"/>
    </row>
    <row r="788">
      <c r="E788" s="122"/>
      <c r="F788" s="122"/>
      <c r="G788" s="122"/>
      <c r="H788" s="122"/>
      <c r="I788" s="118"/>
    </row>
    <row r="789">
      <c r="E789" s="122"/>
      <c r="F789" s="122"/>
      <c r="G789" s="122"/>
      <c r="H789" s="122"/>
      <c r="I789" s="118"/>
    </row>
    <row r="790">
      <c r="E790" s="122"/>
      <c r="F790" s="122"/>
      <c r="G790" s="122"/>
      <c r="H790" s="122"/>
      <c r="I790" s="118"/>
    </row>
    <row r="791">
      <c r="E791" s="122"/>
      <c r="F791" s="122"/>
      <c r="G791" s="122"/>
      <c r="H791" s="122"/>
      <c r="I791" s="118"/>
    </row>
    <row r="792">
      <c r="E792" s="122"/>
      <c r="F792" s="122"/>
      <c r="G792" s="122"/>
      <c r="H792" s="122"/>
      <c r="I792" s="118"/>
    </row>
    <row r="793">
      <c r="E793" s="122"/>
      <c r="F793" s="122"/>
      <c r="G793" s="122"/>
      <c r="H793" s="122"/>
      <c r="I793" s="118"/>
    </row>
    <row r="794">
      <c r="E794" s="122"/>
      <c r="F794" s="122"/>
      <c r="G794" s="122"/>
      <c r="H794" s="122"/>
      <c r="I794" s="118"/>
    </row>
    <row r="795">
      <c r="E795" s="122"/>
      <c r="F795" s="122"/>
      <c r="G795" s="122"/>
      <c r="H795" s="122"/>
      <c r="I795" s="118"/>
    </row>
    <row r="796">
      <c r="E796" s="122"/>
      <c r="F796" s="122"/>
      <c r="G796" s="122"/>
      <c r="H796" s="122"/>
      <c r="I796" s="118"/>
    </row>
    <row r="797">
      <c r="E797" s="122"/>
      <c r="F797" s="122"/>
      <c r="G797" s="122"/>
      <c r="H797" s="122"/>
      <c r="I797" s="118"/>
    </row>
    <row r="798">
      <c r="E798" s="122"/>
      <c r="F798" s="122"/>
      <c r="G798" s="122"/>
      <c r="H798" s="122"/>
      <c r="I798" s="118"/>
    </row>
    <row r="799">
      <c r="E799" s="122"/>
      <c r="F799" s="122"/>
      <c r="G799" s="122"/>
      <c r="H799" s="122"/>
      <c r="I799" s="118"/>
    </row>
    <row r="800">
      <c r="E800" s="122"/>
      <c r="F800" s="122"/>
      <c r="G800" s="122"/>
      <c r="H800" s="122"/>
      <c r="I800" s="118"/>
    </row>
    <row r="801">
      <c r="E801" s="122"/>
      <c r="F801" s="122"/>
      <c r="G801" s="122"/>
      <c r="H801" s="122"/>
      <c r="I801" s="118"/>
    </row>
    <row r="802">
      <c r="E802" s="122"/>
      <c r="F802" s="122"/>
      <c r="G802" s="122"/>
      <c r="H802" s="122"/>
      <c r="I802" s="118"/>
    </row>
    <row r="803">
      <c r="E803" s="122"/>
      <c r="F803" s="122"/>
      <c r="G803" s="122"/>
      <c r="H803" s="122"/>
      <c r="I803" s="118"/>
    </row>
    <row r="804">
      <c r="E804" s="122"/>
      <c r="F804" s="122"/>
      <c r="G804" s="122"/>
      <c r="H804" s="122"/>
      <c r="I804" s="118"/>
    </row>
    <row r="805">
      <c r="E805" s="122"/>
      <c r="F805" s="122"/>
      <c r="G805" s="122"/>
      <c r="H805" s="122"/>
      <c r="I805" s="118"/>
    </row>
    <row r="806">
      <c r="E806" s="122"/>
      <c r="F806" s="122"/>
      <c r="G806" s="122"/>
      <c r="H806" s="122"/>
      <c r="I806" s="118"/>
    </row>
    <row r="807">
      <c r="E807" s="122"/>
      <c r="F807" s="122"/>
      <c r="G807" s="122"/>
      <c r="H807" s="122"/>
      <c r="I807" s="118"/>
    </row>
    <row r="808">
      <c r="E808" s="122"/>
      <c r="F808" s="122"/>
      <c r="G808" s="122"/>
      <c r="H808" s="122"/>
      <c r="I808" s="118"/>
    </row>
    <row r="809">
      <c r="E809" s="122"/>
      <c r="F809" s="122"/>
      <c r="G809" s="122"/>
      <c r="H809" s="122"/>
      <c r="I809" s="118"/>
    </row>
    <row r="810">
      <c r="E810" s="122"/>
      <c r="F810" s="122"/>
      <c r="G810" s="122"/>
      <c r="H810" s="122"/>
      <c r="I810" s="118"/>
    </row>
    <row r="811">
      <c r="E811" s="122"/>
      <c r="F811" s="122"/>
      <c r="G811" s="122"/>
      <c r="H811" s="122"/>
      <c r="I811" s="118"/>
    </row>
    <row r="812">
      <c r="E812" s="122"/>
      <c r="F812" s="122"/>
      <c r="G812" s="122"/>
      <c r="H812" s="122"/>
      <c r="I812" s="118"/>
    </row>
    <row r="813">
      <c r="E813" s="122"/>
      <c r="F813" s="122"/>
      <c r="G813" s="122"/>
      <c r="H813" s="122"/>
      <c r="I813" s="118"/>
    </row>
    <row r="814">
      <c r="E814" s="122"/>
      <c r="F814" s="122"/>
      <c r="G814" s="122"/>
      <c r="H814" s="122"/>
      <c r="I814" s="118"/>
    </row>
    <row r="815">
      <c r="E815" s="122"/>
      <c r="F815" s="122"/>
      <c r="G815" s="122"/>
      <c r="H815" s="122"/>
      <c r="I815" s="118"/>
    </row>
    <row r="816">
      <c r="E816" s="122"/>
      <c r="F816" s="122"/>
      <c r="G816" s="122"/>
      <c r="H816" s="122"/>
      <c r="I816" s="118"/>
    </row>
    <row r="817">
      <c r="E817" s="122"/>
      <c r="F817" s="122"/>
      <c r="G817" s="122"/>
      <c r="H817" s="122"/>
      <c r="I817" s="118"/>
    </row>
    <row r="818">
      <c r="E818" s="122"/>
      <c r="F818" s="122"/>
      <c r="G818" s="122"/>
      <c r="H818" s="122"/>
      <c r="I818" s="118"/>
    </row>
    <row r="819">
      <c r="E819" s="122"/>
      <c r="F819" s="122"/>
      <c r="G819" s="122"/>
      <c r="H819" s="122"/>
      <c r="I819" s="118"/>
    </row>
    <row r="820">
      <c r="E820" s="122"/>
      <c r="F820" s="122"/>
      <c r="G820" s="122"/>
      <c r="H820" s="122"/>
      <c r="I820" s="118"/>
    </row>
    <row r="821">
      <c r="E821" s="122"/>
      <c r="F821" s="122"/>
      <c r="G821" s="122"/>
      <c r="H821" s="122"/>
      <c r="I821" s="118"/>
    </row>
    <row r="822">
      <c r="E822" s="122"/>
      <c r="F822" s="122"/>
      <c r="G822" s="122"/>
      <c r="H822" s="122"/>
      <c r="I822" s="118"/>
    </row>
    <row r="823">
      <c r="E823" s="122"/>
      <c r="F823" s="122"/>
      <c r="G823" s="122"/>
      <c r="H823" s="122"/>
      <c r="I823" s="118"/>
    </row>
    <row r="824">
      <c r="E824" s="122"/>
      <c r="F824" s="122"/>
      <c r="G824" s="122"/>
      <c r="H824" s="122"/>
      <c r="I824" s="118"/>
    </row>
    <row r="825">
      <c r="E825" s="122"/>
      <c r="F825" s="122"/>
      <c r="G825" s="122"/>
      <c r="H825" s="122"/>
      <c r="I825" s="118"/>
    </row>
    <row r="826">
      <c r="E826" s="122"/>
      <c r="F826" s="122"/>
      <c r="G826" s="122"/>
      <c r="H826" s="122"/>
      <c r="I826" s="118"/>
    </row>
    <row r="827">
      <c r="E827" s="122"/>
      <c r="F827" s="122"/>
      <c r="G827" s="122"/>
      <c r="H827" s="122"/>
      <c r="I827" s="118"/>
    </row>
    <row r="828">
      <c r="E828" s="122"/>
      <c r="F828" s="122"/>
      <c r="G828" s="122"/>
      <c r="H828" s="122"/>
      <c r="I828" s="118"/>
    </row>
    <row r="829">
      <c r="E829" s="122"/>
      <c r="F829" s="122"/>
      <c r="G829" s="122"/>
      <c r="H829" s="122"/>
      <c r="I829" s="118"/>
    </row>
    <row r="830">
      <c r="E830" s="122"/>
      <c r="F830" s="122"/>
      <c r="G830" s="122"/>
      <c r="H830" s="122"/>
      <c r="I830" s="118"/>
    </row>
    <row r="831">
      <c r="E831" s="122"/>
      <c r="F831" s="122"/>
      <c r="G831" s="122"/>
      <c r="H831" s="122"/>
      <c r="I831" s="118"/>
    </row>
    <row r="832">
      <c r="E832" s="122"/>
      <c r="F832" s="122"/>
      <c r="G832" s="122"/>
      <c r="H832" s="122"/>
      <c r="I832" s="118"/>
    </row>
    <row r="833">
      <c r="E833" s="122"/>
      <c r="F833" s="122"/>
      <c r="G833" s="122"/>
      <c r="H833" s="122"/>
      <c r="I833" s="118"/>
    </row>
    <row r="834">
      <c r="E834" s="122"/>
      <c r="F834" s="122"/>
      <c r="G834" s="122"/>
      <c r="H834" s="122"/>
      <c r="I834" s="118"/>
    </row>
    <row r="835">
      <c r="E835" s="122"/>
      <c r="F835" s="122"/>
      <c r="G835" s="122"/>
      <c r="H835" s="122"/>
      <c r="I835" s="118"/>
    </row>
    <row r="836">
      <c r="E836" s="122"/>
      <c r="F836" s="122"/>
      <c r="G836" s="122"/>
      <c r="H836" s="122"/>
      <c r="I836" s="118"/>
    </row>
    <row r="837">
      <c r="E837" s="122"/>
      <c r="F837" s="122"/>
      <c r="G837" s="122"/>
      <c r="H837" s="122"/>
      <c r="I837" s="118"/>
    </row>
    <row r="838">
      <c r="E838" s="122"/>
      <c r="F838" s="122"/>
      <c r="G838" s="122"/>
      <c r="H838" s="122"/>
      <c r="I838" s="118"/>
    </row>
    <row r="839">
      <c r="E839" s="122"/>
      <c r="F839" s="122"/>
      <c r="G839" s="122"/>
      <c r="H839" s="122"/>
      <c r="I839" s="118"/>
    </row>
    <row r="840">
      <c r="E840" s="122"/>
      <c r="F840" s="122"/>
      <c r="G840" s="122"/>
      <c r="H840" s="122"/>
      <c r="I840" s="118"/>
    </row>
    <row r="841">
      <c r="E841" s="122"/>
      <c r="F841" s="122"/>
      <c r="G841" s="122"/>
      <c r="H841" s="122"/>
      <c r="I841" s="118"/>
    </row>
    <row r="842">
      <c r="E842" s="122"/>
      <c r="F842" s="122"/>
      <c r="G842" s="122"/>
      <c r="H842" s="122"/>
      <c r="I842" s="118"/>
    </row>
    <row r="843">
      <c r="E843" s="122"/>
      <c r="F843" s="122"/>
      <c r="G843" s="122"/>
      <c r="H843" s="122"/>
      <c r="I843" s="118"/>
    </row>
    <row r="844">
      <c r="E844" s="122"/>
      <c r="F844" s="122"/>
      <c r="G844" s="122"/>
      <c r="H844" s="122"/>
      <c r="I844" s="118"/>
    </row>
    <row r="845">
      <c r="E845" s="122"/>
      <c r="F845" s="122"/>
      <c r="G845" s="122"/>
      <c r="H845" s="122"/>
      <c r="I845" s="118"/>
    </row>
    <row r="846">
      <c r="E846" s="122"/>
      <c r="F846" s="122"/>
      <c r="G846" s="122"/>
      <c r="H846" s="122"/>
      <c r="I846" s="118"/>
    </row>
    <row r="847">
      <c r="E847" s="122"/>
      <c r="F847" s="122"/>
      <c r="G847" s="122"/>
      <c r="H847" s="122"/>
      <c r="I847" s="118"/>
    </row>
    <row r="848">
      <c r="E848" s="122"/>
      <c r="F848" s="122"/>
      <c r="G848" s="122"/>
      <c r="H848" s="122"/>
      <c r="I848" s="118"/>
    </row>
    <row r="849">
      <c r="E849" s="122"/>
      <c r="F849" s="122"/>
      <c r="G849" s="122"/>
      <c r="H849" s="122"/>
      <c r="I849" s="118"/>
    </row>
    <row r="850">
      <c r="E850" s="122"/>
      <c r="F850" s="122"/>
      <c r="G850" s="122"/>
      <c r="H850" s="122"/>
      <c r="I850" s="118"/>
    </row>
    <row r="851">
      <c r="E851" s="122"/>
      <c r="F851" s="122"/>
      <c r="G851" s="122"/>
      <c r="H851" s="122"/>
      <c r="I851" s="118"/>
    </row>
    <row r="852">
      <c r="E852" s="122"/>
      <c r="F852" s="122"/>
      <c r="G852" s="122"/>
      <c r="H852" s="122"/>
      <c r="I852" s="118"/>
    </row>
    <row r="853">
      <c r="E853" s="122"/>
      <c r="F853" s="122"/>
      <c r="G853" s="122"/>
      <c r="H853" s="122"/>
      <c r="I853" s="118"/>
    </row>
    <row r="854">
      <c r="E854" s="122"/>
      <c r="F854" s="122"/>
      <c r="G854" s="122"/>
      <c r="H854" s="122"/>
      <c r="I854" s="118"/>
    </row>
    <row r="855">
      <c r="E855" s="122"/>
      <c r="F855" s="122"/>
      <c r="G855" s="122"/>
      <c r="H855" s="122"/>
      <c r="I855" s="118"/>
    </row>
    <row r="856">
      <c r="E856" s="122"/>
      <c r="F856" s="122"/>
      <c r="G856" s="122"/>
      <c r="H856" s="122"/>
      <c r="I856" s="118"/>
    </row>
    <row r="857">
      <c r="E857" s="122"/>
      <c r="F857" s="122"/>
      <c r="G857" s="122"/>
      <c r="H857" s="122"/>
      <c r="I857" s="118"/>
    </row>
    <row r="858">
      <c r="E858" s="122"/>
      <c r="F858" s="122"/>
      <c r="G858" s="122"/>
      <c r="H858" s="122"/>
      <c r="I858" s="118"/>
    </row>
    <row r="859">
      <c r="E859" s="122"/>
      <c r="F859" s="122"/>
      <c r="G859" s="122"/>
      <c r="H859" s="122"/>
      <c r="I859" s="118"/>
    </row>
    <row r="860">
      <c r="E860" s="122"/>
      <c r="F860" s="122"/>
      <c r="G860" s="122"/>
      <c r="H860" s="122"/>
      <c r="I860" s="118"/>
    </row>
    <row r="861">
      <c r="E861" s="122"/>
      <c r="F861" s="122"/>
      <c r="G861" s="122"/>
      <c r="H861" s="122"/>
      <c r="I861" s="118"/>
    </row>
    <row r="862">
      <c r="E862" s="122"/>
      <c r="F862" s="122"/>
      <c r="G862" s="122"/>
      <c r="H862" s="122"/>
      <c r="I862" s="118"/>
    </row>
    <row r="863">
      <c r="E863" s="122"/>
      <c r="F863" s="122"/>
      <c r="G863" s="122"/>
      <c r="H863" s="122"/>
      <c r="I863" s="118"/>
    </row>
    <row r="864">
      <c r="E864" s="122"/>
      <c r="F864" s="122"/>
      <c r="G864" s="122"/>
      <c r="H864" s="122"/>
      <c r="I864" s="118"/>
    </row>
    <row r="865">
      <c r="E865" s="122"/>
      <c r="F865" s="122"/>
      <c r="G865" s="122"/>
      <c r="H865" s="122"/>
      <c r="I865" s="118"/>
    </row>
    <row r="866">
      <c r="E866" s="122"/>
      <c r="F866" s="122"/>
      <c r="G866" s="122"/>
      <c r="H866" s="122"/>
      <c r="I866" s="118"/>
    </row>
    <row r="867">
      <c r="E867" s="122"/>
      <c r="F867" s="122"/>
      <c r="G867" s="122"/>
      <c r="H867" s="122"/>
      <c r="I867" s="118"/>
    </row>
    <row r="868">
      <c r="E868" s="122"/>
      <c r="F868" s="122"/>
      <c r="G868" s="122"/>
      <c r="H868" s="122"/>
      <c r="I868" s="118"/>
    </row>
    <row r="869">
      <c r="E869" s="122"/>
      <c r="F869" s="122"/>
      <c r="G869" s="122"/>
      <c r="H869" s="122"/>
      <c r="I869" s="118"/>
    </row>
    <row r="870">
      <c r="E870" s="122"/>
      <c r="F870" s="122"/>
      <c r="G870" s="122"/>
      <c r="H870" s="122"/>
      <c r="I870" s="118"/>
    </row>
    <row r="871">
      <c r="E871" s="122"/>
      <c r="F871" s="122"/>
      <c r="G871" s="122"/>
      <c r="H871" s="122"/>
      <c r="I871" s="118"/>
    </row>
    <row r="872">
      <c r="E872" s="122"/>
      <c r="F872" s="122"/>
      <c r="G872" s="122"/>
      <c r="H872" s="122"/>
      <c r="I872" s="118"/>
    </row>
    <row r="873">
      <c r="E873" s="122"/>
      <c r="F873" s="122"/>
      <c r="G873" s="122"/>
      <c r="H873" s="122"/>
      <c r="I873" s="118"/>
    </row>
    <row r="874">
      <c r="E874" s="122"/>
      <c r="F874" s="122"/>
      <c r="G874" s="122"/>
      <c r="H874" s="122"/>
      <c r="I874" s="118"/>
    </row>
    <row r="875">
      <c r="E875" s="122"/>
      <c r="F875" s="122"/>
      <c r="G875" s="122"/>
      <c r="H875" s="122"/>
      <c r="I875" s="118"/>
    </row>
    <row r="876">
      <c r="E876" s="122"/>
      <c r="F876" s="122"/>
      <c r="G876" s="122"/>
      <c r="H876" s="122"/>
      <c r="I876" s="118"/>
    </row>
    <row r="877">
      <c r="E877" s="122"/>
      <c r="F877" s="122"/>
      <c r="G877" s="122"/>
      <c r="H877" s="122"/>
      <c r="I877" s="118"/>
    </row>
    <row r="878">
      <c r="E878" s="122"/>
      <c r="F878" s="122"/>
      <c r="G878" s="122"/>
      <c r="H878" s="122"/>
      <c r="I878" s="118"/>
    </row>
    <row r="879">
      <c r="E879" s="122"/>
      <c r="F879" s="122"/>
      <c r="G879" s="122"/>
      <c r="H879" s="122"/>
      <c r="I879" s="118"/>
    </row>
    <row r="880">
      <c r="E880" s="122"/>
      <c r="F880" s="122"/>
      <c r="G880" s="122"/>
      <c r="H880" s="122"/>
      <c r="I880" s="118"/>
    </row>
    <row r="881">
      <c r="E881" s="122"/>
      <c r="F881" s="122"/>
      <c r="G881" s="122"/>
      <c r="H881" s="122"/>
      <c r="I881" s="118"/>
    </row>
    <row r="882">
      <c r="E882" s="122"/>
      <c r="F882" s="122"/>
      <c r="G882" s="122"/>
      <c r="H882" s="122"/>
      <c r="I882" s="118"/>
    </row>
    <row r="883">
      <c r="E883" s="122"/>
      <c r="F883" s="122"/>
      <c r="G883" s="122"/>
      <c r="H883" s="122"/>
      <c r="I883" s="118"/>
    </row>
    <row r="884">
      <c r="E884" s="122"/>
      <c r="F884" s="122"/>
      <c r="G884" s="122"/>
      <c r="H884" s="122"/>
      <c r="I884" s="118"/>
    </row>
    <row r="885">
      <c r="E885" s="122"/>
      <c r="F885" s="122"/>
      <c r="G885" s="122"/>
      <c r="H885" s="122"/>
      <c r="I885" s="118"/>
    </row>
    <row r="886">
      <c r="E886" s="122"/>
      <c r="F886" s="122"/>
      <c r="G886" s="122"/>
      <c r="H886" s="122"/>
      <c r="I886" s="118"/>
    </row>
    <row r="887">
      <c r="E887" s="122"/>
      <c r="F887" s="122"/>
      <c r="G887" s="122"/>
      <c r="H887" s="122"/>
      <c r="I887" s="118"/>
    </row>
    <row r="888">
      <c r="E888" s="122"/>
      <c r="F888" s="122"/>
      <c r="G888" s="122"/>
      <c r="H888" s="122"/>
      <c r="I888" s="118"/>
    </row>
    <row r="889">
      <c r="E889" s="122"/>
      <c r="F889" s="122"/>
      <c r="G889" s="122"/>
      <c r="H889" s="122"/>
      <c r="I889" s="118"/>
    </row>
    <row r="890">
      <c r="E890" s="122"/>
      <c r="F890" s="122"/>
      <c r="G890" s="122"/>
      <c r="H890" s="122"/>
      <c r="I890" s="118"/>
    </row>
    <row r="891">
      <c r="E891" s="122"/>
      <c r="F891" s="122"/>
      <c r="G891" s="122"/>
      <c r="H891" s="122"/>
      <c r="I891" s="118"/>
    </row>
    <row r="892">
      <c r="E892" s="122"/>
      <c r="F892" s="122"/>
      <c r="G892" s="122"/>
      <c r="H892" s="122"/>
      <c r="I892" s="118"/>
    </row>
    <row r="893">
      <c r="E893" s="122"/>
      <c r="F893" s="122"/>
      <c r="G893" s="122"/>
      <c r="H893" s="122"/>
      <c r="I893" s="118"/>
    </row>
    <row r="894">
      <c r="E894" s="122"/>
      <c r="F894" s="122"/>
      <c r="G894" s="122"/>
      <c r="H894" s="122"/>
      <c r="I894" s="118"/>
    </row>
    <row r="895">
      <c r="E895" s="122"/>
      <c r="F895" s="122"/>
      <c r="G895" s="122"/>
      <c r="H895" s="122"/>
      <c r="I895" s="118"/>
    </row>
    <row r="896">
      <c r="E896" s="122"/>
      <c r="F896" s="122"/>
      <c r="G896" s="122"/>
      <c r="H896" s="122"/>
      <c r="I896" s="118"/>
    </row>
    <row r="897">
      <c r="E897" s="122"/>
      <c r="F897" s="122"/>
      <c r="G897" s="122"/>
      <c r="H897" s="122"/>
      <c r="I897" s="118"/>
    </row>
    <row r="898">
      <c r="E898" s="122"/>
      <c r="F898" s="122"/>
      <c r="G898" s="122"/>
      <c r="H898" s="122"/>
      <c r="I898" s="118"/>
    </row>
    <row r="899">
      <c r="E899" s="122"/>
      <c r="F899" s="122"/>
      <c r="G899" s="122"/>
      <c r="H899" s="122"/>
      <c r="I899" s="118"/>
    </row>
    <row r="900">
      <c r="E900" s="122"/>
      <c r="F900" s="122"/>
      <c r="G900" s="122"/>
      <c r="H900" s="122"/>
      <c r="I900" s="118"/>
    </row>
    <row r="901">
      <c r="E901" s="122"/>
      <c r="F901" s="122"/>
      <c r="G901" s="122"/>
      <c r="H901" s="122"/>
      <c r="I901" s="118"/>
    </row>
    <row r="902">
      <c r="E902" s="122"/>
      <c r="F902" s="122"/>
      <c r="G902" s="122"/>
      <c r="H902" s="122"/>
      <c r="I902" s="118"/>
    </row>
    <row r="903">
      <c r="E903" s="122"/>
      <c r="F903" s="122"/>
      <c r="G903" s="122"/>
      <c r="H903" s="122"/>
      <c r="I903" s="118"/>
    </row>
    <row r="904">
      <c r="E904" s="122"/>
      <c r="F904" s="122"/>
      <c r="G904" s="122"/>
      <c r="H904" s="122"/>
      <c r="I904" s="118"/>
    </row>
    <row r="905">
      <c r="E905" s="122"/>
      <c r="F905" s="122"/>
      <c r="G905" s="122"/>
      <c r="H905" s="122"/>
      <c r="I905" s="118"/>
    </row>
    <row r="906">
      <c r="E906" s="122"/>
      <c r="F906" s="122"/>
      <c r="G906" s="122"/>
      <c r="H906" s="122"/>
      <c r="I906" s="118"/>
    </row>
    <row r="907">
      <c r="E907" s="122"/>
      <c r="F907" s="122"/>
      <c r="G907" s="122"/>
      <c r="H907" s="122"/>
      <c r="I907" s="118"/>
    </row>
    <row r="908">
      <c r="E908" s="122"/>
      <c r="F908" s="122"/>
      <c r="G908" s="122"/>
      <c r="H908" s="122"/>
      <c r="I908" s="118"/>
    </row>
    <row r="909">
      <c r="E909" s="122"/>
      <c r="F909" s="122"/>
      <c r="G909" s="122"/>
      <c r="H909" s="122"/>
      <c r="I909" s="118"/>
    </row>
    <row r="910">
      <c r="E910" s="122"/>
      <c r="F910" s="122"/>
      <c r="G910" s="122"/>
      <c r="H910" s="122"/>
      <c r="I910" s="118"/>
    </row>
    <row r="911">
      <c r="E911" s="122"/>
      <c r="F911" s="122"/>
      <c r="G911" s="122"/>
      <c r="H911" s="122"/>
      <c r="I911" s="118"/>
    </row>
    <row r="912">
      <c r="E912" s="122"/>
      <c r="F912" s="122"/>
      <c r="G912" s="122"/>
      <c r="H912" s="122"/>
      <c r="I912" s="118"/>
    </row>
    <row r="913">
      <c r="E913" s="122"/>
      <c r="F913" s="122"/>
      <c r="G913" s="122"/>
      <c r="H913" s="122"/>
      <c r="I913" s="118"/>
    </row>
    <row r="914">
      <c r="E914" s="122"/>
      <c r="F914" s="122"/>
      <c r="G914" s="122"/>
      <c r="H914" s="122"/>
      <c r="I914" s="118"/>
    </row>
    <row r="915">
      <c r="E915" s="122"/>
      <c r="F915" s="122"/>
      <c r="G915" s="122"/>
      <c r="H915" s="122"/>
      <c r="I915" s="118"/>
    </row>
    <row r="916">
      <c r="E916" s="122"/>
      <c r="F916" s="122"/>
      <c r="G916" s="122"/>
      <c r="H916" s="122"/>
      <c r="I916" s="118"/>
    </row>
    <row r="917">
      <c r="E917" s="122"/>
      <c r="F917" s="122"/>
      <c r="G917" s="122"/>
      <c r="H917" s="122"/>
      <c r="I917" s="118"/>
    </row>
    <row r="918">
      <c r="E918" s="122"/>
      <c r="F918" s="122"/>
      <c r="G918" s="122"/>
      <c r="H918" s="122"/>
      <c r="I918" s="118"/>
    </row>
    <row r="919">
      <c r="E919" s="122"/>
      <c r="F919" s="122"/>
      <c r="G919" s="122"/>
      <c r="H919" s="122"/>
      <c r="I919" s="118"/>
    </row>
    <row r="920">
      <c r="E920" s="122"/>
      <c r="F920" s="122"/>
      <c r="G920" s="122"/>
      <c r="H920" s="122"/>
      <c r="I920" s="118"/>
    </row>
    <row r="921">
      <c r="E921" s="122"/>
      <c r="F921" s="122"/>
      <c r="G921" s="122"/>
      <c r="H921" s="122"/>
      <c r="I921" s="118"/>
    </row>
    <row r="922">
      <c r="E922" s="122"/>
      <c r="F922" s="122"/>
      <c r="G922" s="122"/>
      <c r="H922" s="122"/>
      <c r="I922" s="118"/>
    </row>
    <row r="923">
      <c r="E923" s="122"/>
      <c r="F923" s="122"/>
      <c r="G923" s="122"/>
      <c r="H923" s="122"/>
      <c r="I923" s="118"/>
    </row>
    <row r="924">
      <c r="E924" s="122"/>
      <c r="F924" s="122"/>
      <c r="G924" s="122"/>
      <c r="H924" s="122"/>
      <c r="I924" s="118"/>
    </row>
    <row r="925">
      <c r="E925" s="122"/>
      <c r="F925" s="122"/>
      <c r="G925" s="122"/>
      <c r="H925" s="122"/>
      <c r="I925" s="118"/>
    </row>
    <row r="926">
      <c r="E926" s="122"/>
      <c r="F926" s="122"/>
      <c r="G926" s="122"/>
      <c r="H926" s="122"/>
      <c r="I926" s="118"/>
    </row>
    <row r="927">
      <c r="E927" s="122"/>
      <c r="F927" s="122"/>
      <c r="G927" s="122"/>
      <c r="H927" s="122"/>
      <c r="I927" s="118"/>
    </row>
    <row r="928">
      <c r="E928" s="122"/>
      <c r="F928" s="122"/>
      <c r="G928" s="122"/>
      <c r="H928" s="122"/>
      <c r="I928" s="118"/>
    </row>
    <row r="929">
      <c r="E929" s="122"/>
      <c r="F929" s="122"/>
      <c r="G929" s="122"/>
      <c r="H929" s="122"/>
      <c r="I929" s="118"/>
    </row>
    <row r="930">
      <c r="E930" s="122"/>
      <c r="F930" s="122"/>
      <c r="G930" s="122"/>
      <c r="H930" s="122"/>
      <c r="I930" s="118"/>
    </row>
    <row r="931">
      <c r="E931" s="122"/>
      <c r="F931" s="122"/>
      <c r="G931" s="122"/>
      <c r="H931" s="122"/>
      <c r="I931" s="118"/>
    </row>
    <row r="932">
      <c r="E932" s="122"/>
      <c r="F932" s="122"/>
      <c r="G932" s="122"/>
      <c r="H932" s="122"/>
      <c r="I932" s="118"/>
    </row>
    <row r="933">
      <c r="E933" s="122"/>
      <c r="F933" s="122"/>
      <c r="G933" s="122"/>
      <c r="H933" s="122"/>
      <c r="I933" s="118"/>
    </row>
    <row r="934">
      <c r="E934" s="122"/>
      <c r="F934" s="122"/>
      <c r="G934" s="122"/>
      <c r="H934" s="122"/>
      <c r="I934" s="118"/>
    </row>
    <row r="935">
      <c r="E935" s="122"/>
      <c r="F935" s="122"/>
      <c r="G935" s="122"/>
      <c r="H935" s="122"/>
      <c r="I935" s="118"/>
    </row>
    <row r="936">
      <c r="E936" s="122"/>
      <c r="F936" s="122"/>
      <c r="G936" s="122"/>
      <c r="H936" s="122"/>
      <c r="I936" s="118"/>
    </row>
    <row r="937">
      <c r="E937" s="122"/>
      <c r="F937" s="122"/>
      <c r="G937" s="122"/>
      <c r="H937" s="122"/>
      <c r="I937" s="118"/>
    </row>
    <row r="938">
      <c r="E938" s="122"/>
      <c r="F938" s="122"/>
      <c r="G938" s="122"/>
      <c r="H938" s="122"/>
      <c r="I938" s="118"/>
    </row>
    <row r="939">
      <c r="E939" s="122"/>
      <c r="F939" s="122"/>
      <c r="G939" s="122"/>
      <c r="H939" s="122"/>
      <c r="I939" s="118"/>
    </row>
    <row r="940">
      <c r="E940" s="122"/>
      <c r="F940" s="122"/>
      <c r="G940" s="122"/>
      <c r="H940" s="122"/>
      <c r="I940" s="118"/>
    </row>
    <row r="941">
      <c r="E941" s="122"/>
      <c r="F941" s="122"/>
      <c r="G941" s="122"/>
      <c r="H941" s="122"/>
      <c r="I941" s="118"/>
    </row>
    <row r="942">
      <c r="E942" s="122"/>
      <c r="F942" s="122"/>
      <c r="G942" s="122"/>
      <c r="H942" s="122"/>
      <c r="I942" s="118"/>
    </row>
    <row r="943">
      <c r="E943" s="122"/>
      <c r="F943" s="122"/>
      <c r="G943" s="122"/>
      <c r="H943" s="122"/>
      <c r="I943" s="118"/>
    </row>
    <row r="944">
      <c r="E944" s="122"/>
      <c r="F944" s="122"/>
      <c r="G944" s="122"/>
      <c r="H944" s="122"/>
      <c r="I944" s="118"/>
    </row>
    <row r="945">
      <c r="E945" s="122"/>
      <c r="F945" s="122"/>
      <c r="G945" s="122"/>
      <c r="H945" s="122"/>
      <c r="I945" s="118"/>
    </row>
    <row r="946">
      <c r="E946" s="122"/>
      <c r="F946" s="122"/>
      <c r="G946" s="122"/>
      <c r="H946" s="122"/>
      <c r="I946" s="118"/>
    </row>
    <row r="947">
      <c r="E947" s="122"/>
      <c r="F947" s="122"/>
      <c r="G947" s="122"/>
      <c r="H947" s="122"/>
      <c r="I947" s="118"/>
    </row>
    <row r="948">
      <c r="E948" s="122"/>
      <c r="F948" s="122"/>
      <c r="G948" s="122"/>
      <c r="H948" s="122"/>
      <c r="I948" s="118"/>
    </row>
    <row r="949">
      <c r="E949" s="122"/>
      <c r="F949" s="122"/>
      <c r="G949" s="122"/>
      <c r="H949" s="122"/>
      <c r="I949" s="118"/>
    </row>
    <row r="950">
      <c r="E950" s="122"/>
      <c r="F950" s="122"/>
      <c r="G950" s="122"/>
      <c r="H950" s="122"/>
      <c r="I950" s="118"/>
    </row>
    <row r="951">
      <c r="E951" s="122"/>
      <c r="F951" s="122"/>
      <c r="G951" s="122"/>
      <c r="H951" s="122"/>
      <c r="I951" s="118"/>
    </row>
    <row r="952">
      <c r="E952" s="122"/>
      <c r="F952" s="122"/>
      <c r="G952" s="122"/>
      <c r="H952" s="122"/>
      <c r="I952" s="118"/>
    </row>
    <row r="953">
      <c r="E953" s="122"/>
      <c r="F953" s="122"/>
      <c r="G953" s="122"/>
      <c r="H953" s="122"/>
      <c r="I953" s="118"/>
    </row>
    <row r="954">
      <c r="E954" s="122"/>
      <c r="F954" s="122"/>
      <c r="G954" s="122"/>
      <c r="H954" s="122"/>
      <c r="I954" s="118"/>
    </row>
    <row r="955">
      <c r="E955" s="122"/>
      <c r="F955" s="122"/>
      <c r="G955" s="122"/>
      <c r="H955" s="122"/>
      <c r="I955" s="118"/>
    </row>
    <row r="956">
      <c r="E956" s="122"/>
      <c r="F956" s="122"/>
      <c r="G956" s="122"/>
      <c r="H956" s="122"/>
      <c r="I956" s="118"/>
    </row>
    <row r="957">
      <c r="E957" s="122"/>
      <c r="F957" s="122"/>
      <c r="G957" s="122"/>
      <c r="H957" s="122"/>
      <c r="I957" s="118"/>
    </row>
    <row r="958">
      <c r="E958" s="122"/>
      <c r="F958" s="122"/>
      <c r="G958" s="122"/>
      <c r="H958" s="122"/>
      <c r="I958" s="118"/>
    </row>
    <row r="959">
      <c r="E959" s="122"/>
      <c r="F959" s="122"/>
      <c r="G959" s="122"/>
      <c r="H959" s="122"/>
      <c r="I959" s="118"/>
    </row>
    <row r="960">
      <c r="E960" s="122"/>
      <c r="F960" s="122"/>
      <c r="G960" s="122"/>
      <c r="H960" s="122"/>
      <c r="I960" s="118"/>
    </row>
    <row r="961">
      <c r="E961" s="122"/>
      <c r="F961" s="122"/>
      <c r="G961" s="122"/>
      <c r="H961" s="122"/>
      <c r="I961" s="118"/>
    </row>
    <row r="962">
      <c r="E962" s="122"/>
      <c r="F962" s="122"/>
      <c r="G962" s="122"/>
      <c r="H962" s="122"/>
      <c r="I962" s="118"/>
    </row>
    <row r="963">
      <c r="E963" s="122"/>
      <c r="F963" s="122"/>
      <c r="G963" s="122"/>
      <c r="H963" s="122"/>
      <c r="I963" s="118"/>
    </row>
    <row r="964">
      <c r="E964" s="122"/>
      <c r="F964" s="122"/>
      <c r="G964" s="122"/>
      <c r="H964" s="122"/>
      <c r="I964" s="118"/>
    </row>
    <row r="965">
      <c r="E965" s="122"/>
      <c r="F965" s="122"/>
      <c r="G965" s="122"/>
      <c r="H965" s="122"/>
      <c r="I965" s="118"/>
    </row>
    <row r="966">
      <c r="E966" s="122"/>
      <c r="F966" s="122"/>
      <c r="G966" s="122"/>
      <c r="H966" s="122"/>
      <c r="I966" s="118"/>
    </row>
    <row r="967">
      <c r="E967" s="122"/>
      <c r="F967" s="122"/>
      <c r="G967" s="122"/>
      <c r="H967" s="122"/>
      <c r="I967" s="118"/>
    </row>
    <row r="968">
      <c r="E968" s="122"/>
      <c r="F968" s="122"/>
      <c r="G968" s="122"/>
      <c r="H968" s="122"/>
      <c r="I968" s="118"/>
    </row>
    <row r="969">
      <c r="E969" s="122"/>
      <c r="F969" s="122"/>
      <c r="G969" s="122"/>
      <c r="H969" s="122"/>
      <c r="I969" s="118"/>
    </row>
    <row r="970">
      <c r="E970" s="122"/>
      <c r="F970" s="122"/>
      <c r="G970" s="122"/>
      <c r="H970" s="122"/>
      <c r="I970" s="118"/>
    </row>
    <row r="971">
      <c r="E971" s="122"/>
      <c r="F971" s="122"/>
      <c r="G971" s="122"/>
      <c r="H971" s="122"/>
      <c r="I971" s="118"/>
    </row>
    <row r="972">
      <c r="E972" s="122"/>
      <c r="F972" s="122"/>
      <c r="G972" s="122"/>
      <c r="H972" s="122"/>
      <c r="I972" s="118"/>
    </row>
    <row r="973">
      <c r="E973" s="122"/>
      <c r="F973" s="122"/>
      <c r="G973" s="122"/>
      <c r="H973" s="122"/>
      <c r="I973" s="118"/>
    </row>
    <row r="974">
      <c r="E974" s="122"/>
      <c r="F974" s="122"/>
      <c r="G974" s="122"/>
      <c r="H974" s="122"/>
      <c r="I974" s="118"/>
    </row>
    <row r="975">
      <c r="E975" s="122"/>
      <c r="F975" s="122"/>
      <c r="G975" s="122"/>
      <c r="H975" s="122"/>
      <c r="I975" s="118"/>
    </row>
    <row r="976">
      <c r="E976" s="122"/>
      <c r="F976" s="122"/>
      <c r="G976" s="122"/>
      <c r="H976" s="122"/>
      <c r="I976" s="118"/>
    </row>
    <row r="977">
      <c r="E977" s="122"/>
      <c r="F977" s="122"/>
      <c r="G977" s="122"/>
      <c r="H977" s="122"/>
      <c r="I977" s="118"/>
    </row>
    <row r="978">
      <c r="E978" s="122"/>
      <c r="F978" s="122"/>
      <c r="G978" s="122"/>
      <c r="H978" s="122"/>
      <c r="I978" s="118"/>
    </row>
    <row r="979">
      <c r="E979" s="122"/>
      <c r="F979" s="122"/>
      <c r="G979" s="122"/>
      <c r="H979" s="122"/>
      <c r="I979" s="118"/>
    </row>
    <row r="980">
      <c r="E980" s="122"/>
      <c r="F980" s="122"/>
      <c r="G980" s="122"/>
      <c r="H980" s="122"/>
      <c r="I980" s="118"/>
    </row>
    <row r="981">
      <c r="E981" s="122"/>
      <c r="F981" s="122"/>
      <c r="G981" s="122"/>
      <c r="H981" s="122"/>
      <c r="I981" s="118"/>
    </row>
    <row r="982">
      <c r="E982" s="122"/>
      <c r="F982" s="122"/>
      <c r="G982" s="122"/>
      <c r="H982" s="122"/>
      <c r="I982" s="118"/>
    </row>
    <row r="983">
      <c r="E983" s="122"/>
      <c r="F983" s="122"/>
      <c r="G983" s="122"/>
      <c r="H983" s="122"/>
      <c r="I983" s="118"/>
    </row>
    <row r="984">
      <c r="E984" s="122"/>
      <c r="F984" s="122"/>
      <c r="G984" s="122"/>
      <c r="H984" s="122"/>
      <c r="I984" s="118"/>
    </row>
    <row r="985">
      <c r="E985" s="122"/>
      <c r="F985" s="122"/>
      <c r="G985" s="122"/>
      <c r="H985" s="122"/>
      <c r="I985" s="118"/>
    </row>
    <row r="986">
      <c r="E986" s="122"/>
      <c r="F986" s="122"/>
      <c r="G986" s="122"/>
      <c r="H986" s="122"/>
      <c r="I986" s="118"/>
    </row>
    <row r="987">
      <c r="E987" s="122"/>
      <c r="F987" s="122"/>
      <c r="G987" s="122"/>
      <c r="H987" s="122"/>
      <c r="I987" s="118"/>
    </row>
    <row r="988">
      <c r="E988" s="122"/>
      <c r="F988" s="122"/>
      <c r="G988" s="122"/>
      <c r="H988" s="122"/>
      <c r="I988" s="118"/>
    </row>
    <row r="989">
      <c r="E989" s="122"/>
      <c r="F989" s="122"/>
      <c r="G989" s="122"/>
      <c r="H989" s="122"/>
      <c r="I989" s="118"/>
    </row>
    <row r="990">
      <c r="E990" s="122"/>
      <c r="F990" s="122"/>
      <c r="G990" s="122"/>
      <c r="H990" s="122"/>
      <c r="I990" s="118"/>
    </row>
    <row r="991">
      <c r="E991" s="122"/>
      <c r="F991" s="122"/>
      <c r="G991" s="122"/>
      <c r="H991" s="122"/>
      <c r="I991" s="118"/>
    </row>
    <row r="992">
      <c r="E992" s="122"/>
      <c r="F992" s="122"/>
      <c r="G992" s="122"/>
      <c r="H992" s="122"/>
      <c r="I992" s="118"/>
    </row>
    <row r="993">
      <c r="E993" s="122"/>
      <c r="F993" s="122"/>
      <c r="G993" s="122"/>
      <c r="H993" s="122"/>
      <c r="I993" s="118"/>
    </row>
    <row r="994">
      <c r="E994" s="122"/>
      <c r="F994" s="122"/>
      <c r="G994" s="122"/>
      <c r="H994" s="122"/>
      <c r="I994" s="118"/>
    </row>
    <row r="995">
      <c r="E995" s="122"/>
      <c r="F995" s="122"/>
      <c r="G995" s="122"/>
      <c r="H995" s="122"/>
      <c r="I995" s="118"/>
    </row>
    <row r="996">
      <c r="E996" s="122"/>
      <c r="F996" s="122"/>
      <c r="G996" s="122"/>
      <c r="H996" s="122"/>
      <c r="I996" s="118"/>
    </row>
    <row r="997">
      <c r="E997" s="122"/>
      <c r="F997" s="122"/>
      <c r="G997" s="122"/>
      <c r="H997" s="122"/>
      <c r="I997" s="118"/>
    </row>
    <row r="998">
      <c r="E998" s="122"/>
      <c r="F998" s="122"/>
      <c r="G998" s="122"/>
      <c r="H998" s="122"/>
      <c r="I998" s="118"/>
    </row>
    <row r="999">
      <c r="E999" s="122"/>
      <c r="F999" s="122"/>
      <c r="G999" s="122"/>
      <c r="H999" s="122"/>
      <c r="I999" s="118"/>
    </row>
    <row r="1000">
      <c r="E1000" s="122"/>
      <c r="F1000" s="122"/>
      <c r="G1000" s="122"/>
      <c r="H1000" s="122"/>
      <c r="I1000" s="118"/>
    </row>
  </sheetData>
  <hyperlinks>
    <hyperlink r:id="rId1" location="heading=h.e672zeg0ye25" ref="I2"/>
    <hyperlink r:id="rId2" ref="I3"/>
    <hyperlink r:id="rId3" location="heading=h.e672zeg0ye25" ref="I4"/>
    <hyperlink r:id="rId4" location="heading=h.e672zeg0ye25" ref="I5"/>
  </hyperlinks>
  <drawing r:id="rId5"/>
</worksheet>
</file>